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aw Audit Data" sheetId="1" state="visible" r:id="rId1"/>
    <sheet name="Category Summary" sheetId="2" state="visible" r:id="rId2"/>
    <sheet name="Block-wise Summary" sheetId="3" state="visible" r:id="rId3"/>
    <sheet name="Scoring Guide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sz val="11"/>
    </font>
    <font>
      <name val="Calibri"/>
      <b val="1"/>
      <color rgb="FF1F4E79"/>
      <sz val="16"/>
    </font>
    <font>
      <name val="Calibri"/>
      <b val="1"/>
      <color rgb="FF2E75B6"/>
      <sz val="13"/>
    </font>
    <font>
      <name val="Calibri"/>
      <b val="1"/>
      <color rgb="FF4472C4"/>
      <sz val="11"/>
    </font>
  </fonts>
  <fills count="1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7030A0"/>
        <bgColor rgb="FF7030A0"/>
      </patternFill>
    </fill>
    <fill>
      <patternFill patternType="solid">
        <fgColor rgb="FFBF8F00"/>
        <bgColor rgb="FFBF8F00"/>
      </patternFill>
    </fill>
    <fill>
      <patternFill patternType="solid">
        <fgColor rgb="FFC55A11"/>
        <bgColor rgb="FFC55A11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13" borderId="1" applyAlignment="1" pivotButton="0" quotePrefix="0" xfId="0">
      <alignment horizontal="center" vertical="center" wrapText="1"/>
    </xf>
    <xf numFmtId="165" fontId="0" fillId="1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12" borderId="1" pivotButton="0" quotePrefix="0" xfId="0"/>
    <xf numFmtId="165" fontId="0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3" fillId="1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dxfs count="15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BB1048576"/>
  <sheetViews>
    <sheetView tabSelected="1" zoomScale="92" workbookViewId="0">
      <pane xSplit="5" ySplit="2" topLeftCell="AK3" activePane="bottomRight" state="frozen"/>
      <selection pane="bottomRight" activeCell="BM23" sqref="BM23"/>
      <selection pane="bottomLeft" activeCell="A1" sqref="A1"/>
      <selection pane="topRight" activeCell="A1" sqref="A1"/>
    </sheetView>
  </sheetViews>
  <sheetFormatPr baseColWidth="8" defaultRowHeight="14.45" outlineLevelCol="0"/>
  <cols>
    <col width="5" customWidth="1" min="1" max="1"/>
    <col width="16" customWidth="1" min="2" max="2"/>
    <col width="20" customWidth="1" min="3" max="3"/>
    <col width="16" customWidth="1" min="4" max="4"/>
    <col width="14" customWidth="1" min="5" max="5"/>
    <col width="16" customWidth="1" min="6" max="43"/>
    <col width="18" customWidth="1" min="44" max="51"/>
    <col width="16" customWidth="1" min="52" max="52"/>
    <col width="18" customWidth="1" min="53" max="53"/>
    <col width="25" customWidth="1" min="54" max="54"/>
  </cols>
  <sheetData>
    <row r="1" ht="30" customHeight="1">
      <c r="A1" s="25" t="inlineStr">
        <is>
          <t>S.No</t>
        </is>
      </c>
      <c r="B1" s="25" t="inlineStr">
        <is>
          <t>Building Name</t>
        </is>
      </c>
      <c r="C1" s="25" t="inlineStr">
        <is>
          <t>Block / Zone</t>
        </is>
      </c>
      <c r="D1" s="25" t="inlineStr">
        <is>
          <t>Auditor Name</t>
        </is>
      </c>
      <c r="E1" s="25" t="inlineStr">
        <is>
          <t>Audit Date</t>
        </is>
      </c>
      <c r="F1" s="33" t="inlineStr">
        <is>
          <t>Entrance &amp; Approach</t>
        </is>
      </c>
      <c r="G1" s="37" t="n"/>
      <c r="H1" s="37" t="n"/>
      <c r="I1" s="37" t="n"/>
      <c r="J1" s="37" t="n"/>
      <c r="K1" s="38" t="n"/>
      <c r="L1" s="27" t="inlineStr">
        <is>
          <t>Lifts &amp; Stairs</t>
        </is>
      </c>
      <c r="M1" s="37" t="n"/>
      <c r="N1" s="37" t="n"/>
      <c r="O1" s="37" t="n"/>
      <c r="P1" s="37" t="n"/>
      <c r="Q1" s="38" t="n"/>
      <c r="R1" s="30" t="inlineStr">
        <is>
          <t>Corridors &amp; Pathways</t>
        </is>
      </c>
      <c r="S1" s="37" t="n"/>
      <c r="T1" s="37" t="n"/>
      <c r="U1" s="38" t="n"/>
      <c r="V1" s="34" t="inlineStr">
        <is>
          <t>Signage &amp; Wayfinding</t>
        </is>
      </c>
      <c r="W1" s="37" t="n"/>
      <c r="X1" s="37" t="n"/>
      <c r="Y1" s="38" t="n"/>
      <c r="Z1" s="32" t="inlineStr">
        <is>
          <t>Washroom Accessibility</t>
        </is>
      </c>
      <c r="AA1" s="37" t="n"/>
      <c r="AB1" s="37" t="n"/>
      <c r="AC1" s="37" t="n"/>
      <c r="AD1" s="37" t="n"/>
      <c r="AE1" s="38" t="n"/>
      <c r="AF1" s="36" t="inlineStr">
        <is>
          <t>Emergency &amp; Safety</t>
        </is>
      </c>
      <c r="AG1" s="37" t="n"/>
      <c r="AH1" s="37" t="n"/>
      <c r="AI1" s="37" t="n"/>
      <c r="AJ1" s="38" t="n"/>
      <c r="AK1" s="29" t="inlineStr">
        <is>
          <t>Classroom &amp; Furniture</t>
        </is>
      </c>
      <c r="AL1" s="37" t="n"/>
      <c r="AM1" s="38" t="n"/>
      <c r="AN1" s="35" t="inlineStr">
        <is>
          <t>External &amp; Common Facilities</t>
        </is>
      </c>
      <c r="AO1" s="37" t="n"/>
      <c r="AP1" s="37" t="n"/>
      <c r="AQ1" s="38" t="n"/>
      <c r="AR1" s="31" t="inlineStr">
        <is>
          <t>Entrance &amp; Approach Score %</t>
        </is>
      </c>
      <c r="AS1" s="31" t="inlineStr">
        <is>
          <t>Lifts &amp; Stairs Score %</t>
        </is>
      </c>
      <c r="AT1" s="31" t="inlineStr">
        <is>
          <t>Corridors &amp; Pathways Score %</t>
        </is>
      </c>
      <c r="AU1" s="31" t="inlineStr">
        <is>
          <t>Signage &amp; Wayfinding Score %</t>
        </is>
      </c>
      <c r="AV1" s="31" t="inlineStr">
        <is>
          <t>Washroom Accessibility Score %</t>
        </is>
      </c>
      <c r="AW1" s="31" t="inlineStr">
        <is>
          <t>Emergency &amp; Safety Score %</t>
        </is>
      </c>
      <c r="AX1" s="31" t="inlineStr">
        <is>
          <t>Classroom &amp; Furniture Score %</t>
        </is>
      </c>
      <c r="AY1" s="31" t="inlineStr">
        <is>
          <t>External &amp; Common Facilities Score %</t>
        </is>
      </c>
      <c r="AZ1" s="25" t="inlineStr">
        <is>
          <t>Overall Score %</t>
        </is>
      </c>
      <c r="BA1" s="25" t="inlineStr">
        <is>
          <t>Compliance Rating</t>
        </is>
      </c>
      <c r="BB1" s="25" t="inlineStr">
        <is>
          <t>Remarks</t>
        </is>
      </c>
    </row>
    <row r="2" ht="70.15000000000001" customHeight="1">
      <c r="A2" s="26" t="n"/>
      <c r="B2" s="26" t="n"/>
      <c r="C2" s="26" t="n"/>
      <c r="D2" s="26" t="n"/>
      <c r="E2" s="26" t="n"/>
      <c r="F2" s="1" t="inlineStr">
        <is>
          <t>Is the main entrance step-free?</t>
        </is>
      </c>
      <c r="G2" s="1" t="inlineStr">
        <is>
          <t>Is a ramp available at the entrance?</t>
        </is>
      </c>
      <c r="H2" s="1" t="inlineStr">
        <is>
          <t>Is the ramp slope gentle enough for a wheelchair?</t>
        </is>
      </c>
      <c r="I2" s="1" t="inlineStr">
        <is>
          <t>Does the ramp have a non-slip surface?</t>
        </is>
      </c>
      <c r="J2" s="1" t="inlineStr">
        <is>
          <t>Are doors easy to open (light push or automatic)?</t>
        </is>
      </c>
      <c r="K2" s="1" t="inlineStr">
        <is>
          <t>Is the entrance wide enough for a wheelchair?</t>
        </is>
      </c>
      <c r="L2" s="2" t="inlineStr">
        <is>
          <t>Is a lift / elevator available?</t>
        </is>
      </c>
      <c r="M2" s="2" t="inlineStr">
        <is>
          <t>Does the lift have Braille buttons?</t>
        </is>
      </c>
      <c r="N2" s="2" t="inlineStr">
        <is>
          <t>Does the lift announce floors (audio)?</t>
        </is>
      </c>
      <c r="O2" s="2" t="inlineStr">
        <is>
          <t>Can a wheelchair fit inside the lift?</t>
        </is>
      </c>
      <c r="P2" s="2" t="inlineStr">
        <is>
          <t>Do staircases have handrails on both sides?</t>
        </is>
      </c>
      <c r="Q2" s="2" t="inlineStr">
        <is>
          <t>Do stair edges have warning strips?</t>
        </is>
      </c>
      <c r="R2" s="3" t="inlineStr">
        <is>
          <t>Are corridors wide enough for a wheelchair?</t>
        </is>
      </c>
      <c r="S2" s="3" t="inlineStr">
        <is>
          <t>Is there enough space for a wheelchair to turn?</t>
        </is>
      </c>
      <c r="T2" s="3" t="inlineStr">
        <is>
          <t>Are pathways clear of obstacles?</t>
        </is>
      </c>
      <c r="U2" s="3" t="inlineStr">
        <is>
          <t>Is the flooring non-slip?</t>
        </is>
      </c>
      <c r="V2" s="4" t="inlineStr">
        <is>
          <t>Is Braille signage available at rooms / floors?</t>
        </is>
      </c>
      <c r="W2" s="4" t="inlineStr">
        <is>
          <t>Is the disability symbol displayed?</t>
        </is>
      </c>
      <c r="X2" s="4" t="inlineStr">
        <is>
          <t>Is a floor directory / map at the entrance?</t>
        </is>
      </c>
      <c r="Y2" s="4" t="inlineStr">
        <is>
          <t>Are room numbers placed at a readable height?</t>
        </is>
      </c>
      <c r="Z2" s="5" t="inlineStr">
        <is>
          <t>Is an accessible washroom available?</t>
        </is>
      </c>
      <c r="AA2" s="5" t="inlineStr">
        <is>
          <t>Is the washroom door wide enough for a wheelchair?</t>
        </is>
      </c>
      <c r="AB2" s="5" t="inlineStr">
        <is>
          <t>Are grab bars installed in the washroom?</t>
        </is>
      </c>
      <c r="AC2" s="5" t="inlineStr">
        <is>
          <t>Does the accessible washroom have proper signage?</t>
        </is>
      </c>
      <c r="AD2" s="5" t="inlineStr">
        <is>
          <t>Is the wash basin at a reachable height?</t>
        </is>
      </c>
      <c r="AE2" s="5" t="inlineStr">
        <is>
          <t>Is there an emergency alarm in the accessible washroom?</t>
        </is>
      </c>
      <c r="AF2" s="6" t="inlineStr">
        <is>
          <t>Is there an accessible emergency exit?</t>
        </is>
      </c>
      <c r="AG2" s="6" t="inlineStr">
        <is>
          <t>Is a visual fire alarm (flashing light) available?</t>
        </is>
      </c>
      <c r="AH2" s="6" t="inlineStr">
        <is>
          <t>Is an audible fire alarm available?</t>
        </is>
      </c>
      <c r="AI2" s="6" t="inlineStr">
        <is>
          <t>Is there an evacuation plan for disabled persons?</t>
        </is>
      </c>
      <c r="AJ2" s="6" t="inlineStr">
        <is>
          <t>Is a safe waiting area available on each floor?</t>
        </is>
      </c>
      <c r="AK2" s="7" t="inlineStr">
        <is>
          <t>Are wheelchair-friendly desks / tables available?</t>
        </is>
      </c>
      <c r="AL2" s="7" t="inlineStr">
        <is>
          <t>Is there accessible seating (front row / aisle)?</t>
        </is>
      </c>
      <c r="AM2" s="7" t="inlineStr">
        <is>
          <t>Is the classroom well-lit?</t>
        </is>
      </c>
      <c r="AN2" s="8" t="inlineStr">
        <is>
          <t>Is accessible parking available?</t>
        </is>
      </c>
      <c r="AO2" s="8" t="inlineStr">
        <is>
          <t>Is there an accessible path from parking to entrance?</t>
        </is>
      </c>
      <c r="AP2" s="8" t="inlineStr">
        <is>
          <t>Is the drinking water facility reachable from a wheelchair?</t>
        </is>
      </c>
      <c r="AQ2" s="8" t="inlineStr">
        <is>
          <t>Is the canteen counter accessible?</t>
        </is>
      </c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26" t="n"/>
      <c r="BB2" s="26" t="n"/>
    </row>
    <row r="3" ht="15" customHeight="1">
      <c r="A3" s="9" t="n">
        <v>1</v>
      </c>
      <c r="B3" s="10" t="inlineStr">
        <is>
          <t>Zakir A</t>
        </is>
      </c>
      <c r="C3" s="10" t="inlineStr">
        <is>
          <t>Zakir Husain Block</t>
        </is>
      </c>
      <c r="D3" s="11" t="inlineStr">
        <is>
          <t>Vaibhav Tiwari</t>
        </is>
      </c>
      <c r="E3" s="12" t="inlineStr">
        <is>
          <t>26-Sep-2026</t>
        </is>
      </c>
      <c r="F3" s="9" t="inlineStr">
        <is>
          <t>No</t>
        </is>
      </c>
      <c r="G3" s="9" t="inlineStr">
        <is>
          <t>No</t>
        </is>
      </c>
      <c r="H3" s="9" t="inlineStr">
        <is>
          <t>No</t>
        </is>
      </c>
      <c r="I3" s="9" t="inlineStr">
        <is>
          <t>No</t>
        </is>
      </c>
      <c r="J3" s="9" t="inlineStr">
        <is>
          <t>No</t>
        </is>
      </c>
      <c r="K3" s="9" t="inlineStr">
        <is>
          <t>Yes</t>
        </is>
      </c>
      <c r="L3" s="9" t="inlineStr">
        <is>
          <t>Yes</t>
        </is>
      </c>
      <c r="M3" s="9" t="inlineStr">
        <is>
          <t>Yes</t>
        </is>
      </c>
      <c r="N3" s="9" t="inlineStr">
        <is>
          <t>No</t>
        </is>
      </c>
      <c r="O3" s="9" t="inlineStr">
        <is>
          <t>Yes</t>
        </is>
      </c>
      <c r="P3" s="9" t="inlineStr">
        <is>
          <t>Yes</t>
        </is>
      </c>
      <c r="Q3" s="9" t="inlineStr">
        <is>
          <t>No</t>
        </is>
      </c>
      <c r="R3" s="9" t="inlineStr">
        <is>
          <t>Yes</t>
        </is>
      </c>
      <c r="S3" s="9" t="inlineStr">
        <is>
          <t>Yes</t>
        </is>
      </c>
      <c r="T3" s="9" t="inlineStr">
        <is>
          <t>Yes</t>
        </is>
      </c>
      <c r="U3" s="9" t="inlineStr">
        <is>
          <t>Partial</t>
        </is>
      </c>
      <c r="V3" s="9" t="inlineStr">
        <is>
          <t>No</t>
        </is>
      </c>
      <c r="W3" s="9" t="inlineStr">
        <is>
          <t>No</t>
        </is>
      </c>
      <c r="X3" s="9" t="inlineStr">
        <is>
          <t>Yes</t>
        </is>
      </c>
      <c r="Y3" s="9" t="inlineStr">
        <is>
          <t>Yes</t>
        </is>
      </c>
      <c r="Z3" s="9" t="inlineStr">
        <is>
          <t>Yes</t>
        </is>
      </c>
      <c r="AA3" s="9" t="inlineStr">
        <is>
          <t>Yes</t>
        </is>
      </c>
      <c r="AB3" s="9" t="inlineStr">
        <is>
          <t>Yes</t>
        </is>
      </c>
      <c r="AC3" s="9" t="inlineStr">
        <is>
          <t>Partial</t>
        </is>
      </c>
      <c r="AD3" s="9" t="inlineStr">
        <is>
          <t>Yes</t>
        </is>
      </c>
      <c r="AE3" s="9" t="inlineStr">
        <is>
          <t>No</t>
        </is>
      </c>
      <c r="AF3" s="9" t="inlineStr">
        <is>
          <t>No</t>
        </is>
      </c>
      <c r="AG3" s="9" t="inlineStr">
        <is>
          <t>No</t>
        </is>
      </c>
      <c r="AH3" s="9" t="inlineStr">
        <is>
          <t>Yes</t>
        </is>
      </c>
      <c r="AI3" s="9" t="inlineStr">
        <is>
          <t>No</t>
        </is>
      </c>
      <c r="AJ3" s="9" t="inlineStr">
        <is>
          <t>No</t>
        </is>
      </c>
      <c r="AK3" s="9" t="inlineStr">
        <is>
          <t>No</t>
        </is>
      </c>
      <c r="AL3" s="9" t="inlineStr">
        <is>
          <t>Yes</t>
        </is>
      </c>
      <c r="AM3" s="9" t="inlineStr">
        <is>
          <t>Yes</t>
        </is>
      </c>
      <c r="AN3" s="9" t="inlineStr">
        <is>
          <t>Yes</t>
        </is>
      </c>
      <c r="AO3" s="9" t="inlineStr">
        <is>
          <t>No</t>
        </is>
      </c>
      <c r="AP3" s="9" t="inlineStr">
        <is>
          <t>Yes</t>
        </is>
      </c>
      <c r="AQ3" s="9" t="inlineStr">
        <is>
          <t>Yes</t>
        </is>
      </c>
      <c r="AR3" s="13">
        <f>IFERROR((COUNTIF(F3:K3,"Yes")+0.5*COUNTIF(F3:K3,"Partial"))/(COUNTA(F3:K3)-COUNTIF(F3:K3,"NA"))*100,"")</f>
        <v/>
      </c>
      <c r="AS3" s="13">
        <f>IFERROR((COUNTIF(L3:Q3,"Yes")+0.5*COUNTIF(L3:Q3,"Partial"))/(COUNTA(L3:Q3)-COUNTIF(L3:Q3,"NA"))*100,"")</f>
        <v/>
      </c>
      <c r="AT3" s="13">
        <f>IFERROR((COUNTIF(R3:U3,"Yes")+0.5*COUNTIF(R3:U3,"Partial"))/(COUNTA(R3:U3)-COUNTIF(R3:U3,"NA"))*100,"")</f>
        <v/>
      </c>
      <c r="AU3" s="13">
        <f>IFERROR((COUNTIF(V3:Y3,"Yes")+0.5*COUNTIF(V3:Y3,"Partial"))/(COUNTA(V3:Y3)-COUNTIF(V3:Y3,"NA"))*100,"")</f>
        <v/>
      </c>
      <c r="AV3" s="13">
        <f>IFERROR((COUNTIF(Z3:AE3,"Yes")+0.5*COUNTIF(Z3:AE3,"Partial"))/(COUNTA(Z3:AE3)-COUNTIF(Z3:AE3,"NA"))*100,"")</f>
        <v/>
      </c>
      <c r="AW3" s="13">
        <f>IFERROR((COUNTIF(AF3:AJ3,"Yes")+0.5*COUNTIF(AF3:AJ3,"Partial"))/(COUNTA(AF3:AJ3)-COUNTIF(AF3:AJ3,"NA"))*100,"")</f>
        <v/>
      </c>
      <c r="AX3" s="13">
        <f>IFERROR((COUNTIF(AK3:AM3,"Yes")+0.5*COUNTIF(AK3:AM3,"Partial"))/(COUNTA(AK3:AM3)-COUNTIF(AK3:AM3,"NA"))*100,"")</f>
        <v/>
      </c>
      <c r="AY3" s="13">
        <f>IFERROR((COUNTIF(AN3:AQ3,"Yes")+0.5*COUNTIF(AN3:AQ3,"Partial"))/(COUNTA(AN3:AQ3)-COUNTIF(AN3:AQ3,"NA"))*100,"")</f>
        <v/>
      </c>
      <c r="AZ3" s="14">
        <f>IFERROR(AVERAGE(IF(ISNUMBER(AR3:AY3),AR3:AY3)),"")</f>
        <v/>
      </c>
      <c r="BA3" s="15">
        <f>IF(AZ3="","",IF(AZ3&gt;=80,"Compliant",IF(AZ3&gt;=50,"Partial","Non-Compliant")))</f>
        <v/>
      </c>
      <c r="BB3" s="11" t="n"/>
    </row>
    <row r="4" ht="15" customHeight="1">
      <c r="A4" s="9" t="n">
        <v>2</v>
      </c>
      <c r="B4" s="10" t="inlineStr">
        <is>
          <t>Zakir B</t>
        </is>
      </c>
      <c r="C4" s="10" t="inlineStr">
        <is>
          <t>Zakir Husain Block</t>
        </is>
      </c>
      <c r="D4" s="11" t="inlineStr">
        <is>
          <t>Vaibhav Tiwari</t>
        </is>
      </c>
      <c r="E4" s="12" t="inlineStr">
        <is>
          <t>26-Sep-2026</t>
        </is>
      </c>
      <c r="F4" s="9" t="inlineStr">
        <is>
          <t>No</t>
        </is>
      </c>
      <c r="G4" s="9" t="inlineStr">
        <is>
          <t>No</t>
        </is>
      </c>
      <c r="H4" s="9" t="inlineStr">
        <is>
          <t>No</t>
        </is>
      </c>
      <c r="I4" s="9" t="inlineStr">
        <is>
          <t>No</t>
        </is>
      </c>
      <c r="J4" s="9" t="inlineStr">
        <is>
          <t>No</t>
        </is>
      </c>
      <c r="K4" s="9" t="inlineStr">
        <is>
          <t>Yes</t>
        </is>
      </c>
      <c r="L4" s="9" t="inlineStr">
        <is>
          <t>Yes</t>
        </is>
      </c>
      <c r="M4" s="9" t="inlineStr">
        <is>
          <t>Yes</t>
        </is>
      </c>
      <c r="N4" s="9" t="inlineStr">
        <is>
          <t>No</t>
        </is>
      </c>
      <c r="O4" s="9" t="inlineStr">
        <is>
          <t>Yes</t>
        </is>
      </c>
      <c r="P4" s="9" t="inlineStr">
        <is>
          <t>Yes</t>
        </is>
      </c>
      <c r="Q4" s="9" t="inlineStr">
        <is>
          <t>No</t>
        </is>
      </c>
      <c r="R4" s="9" t="inlineStr">
        <is>
          <t>Yes</t>
        </is>
      </c>
      <c r="S4" s="9" t="inlineStr">
        <is>
          <t>Yes</t>
        </is>
      </c>
      <c r="T4" s="9" t="inlineStr">
        <is>
          <t>Yes</t>
        </is>
      </c>
      <c r="U4" s="9" t="inlineStr">
        <is>
          <t>Partial</t>
        </is>
      </c>
      <c r="V4" s="9" t="inlineStr">
        <is>
          <t>No</t>
        </is>
      </c>
      <c r="W4" s="9" t="inlineStr">
        <is>
          <t>No</t>
        </is>
      </c>
      <c r="X4" s="9" t="inlineStr">
        <is>
          <t>Yes</t>
        </is>
      </c>
      <c r="Y4" s="9" t="inlineStr">
        <is>
          <t>Yes</t>
        </is>
      </c>
      <c r="Z4" s="9" t="inlineStr">
        <is>
          <t>Yes</t>
        </is>
      </c>
      <c r="AA4" s="9" t="inlineStr">
        <is>
          <t>Yes</t>
        </is>
      </c>
      <c r="AB4" s="9" t="inlineStr">
        <is>
          <t>Yes</t>
        </is>
      </c>
      <c r="AC4" s="9" t="inlineStr">
        <is>
          <t>Partial</t>
        </is>
      </c>
      <c r="AD4" s="9" t="inlineStr">
        <is>
          <t>Yes</t>
        </is>
      </c>
      <c r="AE4" s="9" t="inlineStr">
        <is>
          <t>No</t>
        </is>
      </c>
      <c r="AF4" s="9" t="inlineStr">
        <is>
          <t>No</t>
        </is>
      </c>
      <c r="AG4" s="9" t="inlineStr">
        <is>
          <t>No</t>
        </is>
      </c>
      <c r="AH4" s="9" t="inlineStr">
        <is>
          <t>Yes</t>
        </is>
      </c>
      <c r="AI4" s="9" t="inlineStr">
        <is>
          <t>No</t>
        </is>
      </c>
      <c r="AJ4" s="9" t="inlineStr">
        <is>
          <t>No</t>
        </is>
      </c>
      <c r="AK4" s="9" t="inlineStr">
        <is>
          <t>No</t>
        </is>
      </c>
      <c r="AL4" s="9" t="inlineStr">
        <is>
          <t>Yes</t>
        </is>
      </c>
      <c r="AM4" s="9" t="inlineStr">
        <is>
          <t>Yes</t>
        </is>
      </c>
      <c r="AN4" s="9" t="inlineStr">
        <is>
          <t>Yes</t>
        </is>
      </c>
      <c r="AO4" s="9" t="inlineStr">
        <is>
          <t>No</t>
        </is>
      </c>
      <c r="AP4" s="9" t="inlineStr">
        <is>
          <t>Yes</t>
        </is>
      </c>
      <c r="AQ4" s="9" t="inlineStr">
        <is>
          <t>Yes</t>
        </is>
      </c>
      <c r="AR4" s="13">
        <f>IFERROR((COUNTIF(F4:K4,"Yes")+0.5*COUNTIF(F4:K4,"Partial"))/(COUNTA(F4:K4)-COUNTIF(F4:K4,"NA"))*100,"")</f>
        <v/>
      </c>
      <c r="AS4" s="13">
        <f>IFERROR((COUNTIF(L4:Q4,"Yes")+0.5*COUNTIF(L4:Q4,"Partial"))/(COUNTA(L4:Q4)-COUNTIF(L4:Q4,"NA"))*100,"")</f>
        <v/>
      </c>
      <c r="AT4" s="13">
        <f>IFERROR((COUNTIF(R4:U4,"Yes")+0.5*COUNTIF(R4:U4,"Partial"))/(COUNTA(R4:U4)-COUNTIF(R4:U4,"NA"))*100,"")</f>
        <v/>
      </c>
      <c r="AU4" s="13">
        <f>IFERROR((COUNTIF(V4:Y4,"Yes")+0.5*COUNTIF(V4:Y4,"Partial"))/(COUNTA(V4:Y4)-COUNTIF(V4:Y4,"NA"))*100,"")</f>
        <v/>
      </c>
      <c r="AV4" s="13">
        <f>IFERROR((COUNTIF(Z4:AE4,"Yes")+0.5*COUNTIF(Z4:AE4,"Partial"))/(COUNTA(Z4:AE4)-COUNTIF(Z4:AE4,"NA"))*100,"")</f>
        <v/>
      </c>
      <c r="AW4" s="13">
        <f>IFERROR((COUNTIF(AF4:AJ4,"Yes")+0.5*COUNTIF(AF4:AJ4,"Partial"))/(COUNTA(AF4:AJ4)-COUNTIF(AF4:AJ4,"NA"))*100,"")</f>
        <v/>
      </c>
      <c r="AX4" s="13">
        <f>IFERROR((COUNTIF(AK4:AM4,"Yes")+0.5*COUNTIF(AK4:AM4,"Partial"))/(COUNTA(AK4:AM4)-COUNTIF(AK4:AM4,"NA"))*100,"")</f>
        <v/>
      </c>
      <c r="AY4" s="13">
        <f>IFERROR((COUNTIF(AN4:AQ4,"Yes")+0.5*COUNTIF(AN4:AQ4,"Partial"))/(COUNTA(AN4:AQ4)-COUNTIF(AN4:AQ4,"NA"))*100,"")</f>
        <v/>
      </c>
      <c r="AZ4" s="14">
        <f>IFERROR(AVERAGE(IF(ISNUMBER(AR4:AY4),AR4:AY4)),"")</f>
        <v/>
      </c>
      <c r="BA4" s="15">
        <f>IF(AZ4="","",IF(AZ4&gt;=80,"Compliant",IF(AZ4&gt;=50,"Partial","Non-Compliant")))</f>
        <v/>
      </c>
      <c r="BB4" s="11" t="n"/>
    </row>
    <row r="5" ht="15" customHeight="1">
      <c r="A5" s="9" t="n">
        <v>3</v>
      </c>
      <c r="B5" s="10" t="inlineStr">
        <is>
          <t>Zakir C</t>
        </is>
      </c>
      <c r="C5" s="10" t="inlineStr">
        <is>
          <t>Zakir Husain Block</t>
        </is>
      </c>
      <c r="D5" s="11" t="inlineStr">
        <is>
          <t>Vaibhav Tiwari</t>
        </is>
      </c>
      <c r="E5" s="12" t="inlineStr">
        <is>
          <t>26-Sep-2026</t>
        </is>
      </c>
      <c r="F5" s="9" t="inlineStr">
        <is>
          <t>No</t>
        </is>
      </c>
      <c r="G5" s="9" t="inlineStr">
        <is>
          <t>No</t>
        </is>
      </c>
      <c r="H5" s="9" t="inlineStr">
        <is>
          <t>No</t>
        </is>
      </c>
      <c r="I5" s="9" t="inlineStr">
        <is>
          <t>No</t>
        </is>
      </c>
      <c r="J5" s="9" t="inlineStr">
        <is>
          <t>No</t>
        </is>
      </c>
      <c r="K5" s="9" t="inlineStr">
        <is>
          <t>Yes</t>
        </is>
      </c>
      <c r="L5" s="9" t="inlineStr">
        <is>
          <t>Yes</t>
        </is>
      </c>
      <c r="M5" s="9" t="inlineStr">
        <is>
          <t>Yes</t>
        </is>
      </c>
      <c r="N5" s="9" t="inlineStr">
        <is>
          <t>No</t>
        </is>
      </c>
      <c r="O5" s="9" t="inlineStr">
        <is>
          <t>Yes</t>
        </is>
      </c>
      <c r="P5" s="9" t="inlineStr">
        <is>
          <t>Yes</t>
        </is>
      </c>
      <c r="Q5" s="9" t="inlineStr">
        <is>
          <t>No</t>
        </is>
      </c>
      <c r="R5" s="9" t="inlineStr">
        <is>
          <t>Yes</t>
        </is>
      </c>
      <c r="S5" s="9" t="inlineStr">
        <is>
          <t>Yes</t>
        </is>
      </c>
      <c r="T5" s="9" t="inlineStr">
        <is>
          <t>Yes</t>
        </is>
      </c>
      <c r="U5" s="9" t="inlineStr">
        <is>
          <t>Partial</t>
        </is>
      </c>
      <c r="V5" s="9" t="inlineStr">
        <is>
          <t>No</t>
        </is>
      </c>
      <c r="W5" s="9" t="inlineStr">
        <is>
          <t>No</t>
        </is>
      </c>
      <c r="X5" s="9" t="inlineStr">
        <is>
          <t>Yes</t>
        </is>
      </c>
      <c r="Y5" s="9" t="inlineStr">
        <is>
          <t>Yes</t>
        </is>
      </c>
      <c r="Z5" s="9" t="inlineStr">
        <is>
          <t>Yes</t>
        </is>
      </c>
      <c r="AA5" s="9" t="inlineStr">
        <is>
          <t>Yes</t>
        </is>
      </c>
      <c r="AB5" s="9" t="inlineStr">
        <is>
          <t>Yes</t>
        </is>
      </c>
      <c r="AC5" s="9" t="inlineStr">
        <is>
          <t>Partial</t>
        </is>
      </c>
      <c r="AD5" s="9" t="inlineStr">
        <is>
          <t>Yes</t>
        </is>
      </c>
      <c r="AE5" s="9" t="inlineStr">
        <is>
          <t>No</t>
        </is>
      </c>
      <c r="AF5" s="9" t="inlineStr">
        <is>
          <t>No</t>
        </is>
      </c>
      <c r="AG5" s="9" t="inlineStr">
        <is>
          <t>No</t>
        </is>
      </c>
      <c r="AH5" s="9" t="inlineStr">
        <is>
          <t>Yes</t>
        </is>
      </c>
      <c r="AI5" s="9" t="inlineStr">
        <is>
          <t>No</t>
        </is>
      </c>
      <c r="AJ5" s="9" t="inlineStr">
        <is>
          <t>No</t>
        </is>
      </c>
      <c r="AK5" s="9" t="inlineStr">
        <is>
          <t>No</t>
        </is>
      </c>
      <c r="AL5" s="9" t="inlineStr">
        <is>
          <t>Yes</t>
        </is>
      </c>
      <c r="AM5" s="9" t="inlineStr">
        <is>
          <t>Yes</t>
        </is>
      </c>
      <c r="AN5" s="9" t="inlineStr">
        <is>
          <t>Yes</t>
        </is>
      </c>
      <c r="AO5" s="9" t="inlineStr">
        <is>
          <t>No</t>
        </is>
      </c>
      <c r="AP5" s="9" t="inlineStr">
        <is>
          <t>Yes</t>
        </is>
      </c>
      <c r="AQ5" s="9" t="inlineStr">
        <is>
          <t>Yes</t>
        </is>
      </c>
      <c r="AR5" s="13">
        <f>IFERROR((COUNTIF(F5:K5,"Yes")+0.5*COUNTIF(F5:K5,"Partial"))/(COUNTA(F5:K5)-COUNTIF(F5:K5,"NA"))*100,"")</f>
        <v/>
      </c>
      <c r="AS5" s="13">
        <f>IFERROR((COUNTIF(L5:Q5,"Yes")+0.5*COUNTIF(L5:Q5,"Partial"))/(COUNTA(L5:Q5)-COUNTIF(L5:Q5,"NA"))*100,"")</f>
        <v/>
      </c>
      <c r="AT5" s="13">
        <f>IFERROR((COUNTIF(R5:U5,"Yes")+0.5*COUNTIF(R5:U5,"Partial"))/(COUNTA(R5:U5)-COUNTIF(R5:U5,"NA"))*100,"")</f>
        <v/>
      </c>
      <c r="AU5" s="13">
        <f>IFERROR((COUNTIF(V5:Y5,"Yes")+0.5*COUNTIF(V5:Y5,"Partial"))/(COUNTA(V5:Y5)-COUNTIF(V5:Y5,"NA"))*100,"")</f>
        <v/>
      </c>
      <c r="AV5" s="13">
        <f>IFERROR((COUNTIF(Z5:AE5,"Yes")+0.5*COUNTIF(Z5:AE5,"Partial"))/(COUNTA(Z5:AE5)-COUNTIF(Z5:AE5,"NA"))*100,"")</f>
        <v/>
      </c>
      <c r="AW5" s="13">
        <f>IFERROR((COUNTIF(AF5:AJ5,"Yes")+0.5*COUNTIF(AF5:AJ5,"Partial"))/(COUNTA(AF5:AJ5)-COUNTIF(AF5:AJ5,"NA"))*100,"")</f>
        <v/>
      </c>
      <c r="AX5" s="13">
        <f>IFERROR((COUNTIF(AK5:AM5,"Yes")+0.5*COUNTIF(AK5:AM5,"Partial"))/(COUNTA(AK5:AM5)-COUNTIF(AK5:AM5,"NA"))*100,"")</f>
        <v/>
      </c>
      <c r="AY5" s="13">
        <f>IFERROR((COUNTIF(AN5:AQ5,"Yes")+0.5*COUNTIF(AN5:AQ5,"Partial"))/(COUNTA(AN5:AQ5)-COUNTIF(AN5:AQ5,"NA"))*100,"")</f>
        <v/>
      </c>
      <c r="AZ5" s="14">
        <f>IFERROR(AVERAGE(IF(ISNUMBER(AR5:AY5),AR5:AY5)),"")</f>
        <v/>
      </c>
      <c r="BA5" s="15">
        <f>IF(AZ5="","",IF(AZ5&gt;=80,"Compliant",IF(AZ5&gt;=50,"Partial","Non-Compliant")))</f>
        <v/>
      </c>
      <c r="BB5" s="11" t="n"/>
    </row>
    <row r="6" ht="15" customHeight="1">
      <c r="A6" s="9" t="n">
        <v>4</v>
      </c>
      <c r="B6" s="10" t="inlineStr">
        <is>
          <t>NC 1</t>
        </is>
      </c>
      <c r="C6" s="10" t="inlineStr">
        <is>
          <t>Nek Chand Block</t>
        </is>
      </c>
      <c r="D6" s="11" t="inlineStr">
        <is>
          <t>Vaibhav Tiwari</t>
        </is>
      </c>
      <c r="E6" s="12" t="inlineStr">
        <is>
          <t>26-Sep-2026</t>
        </is>
      </c>
      <c r="F6" s="9" t="inlineStr">
        <is>
          <t>Yes</t>
        </is>
      </c>
      <c r="G6" s="9" t="inlineStr">
        <is>
          <t>No</t>
        </is>
      </c>
      <c r="H6" s="9" t="inlineStr">
        <is>
          <t>No</t>
        </is>
      </c>
      <c r="I6" s="9" t="inlineStr">
        <is>
          <t>No</t>
        </is>
      </c>
      <c r="J6" s="9" t="inlineStr">
        <is>
          <t>No</t>
        </is>
      </c>
      <c r="K6" s="9" t="inlineStr">
        <is>
          <t>Yes</t>
        </is>
      </c>
      <c r="L6" s="9" t="inlineStr">
        <is>
          <t>Yes</t>
        </is>
      </c>
      <c r="M6" s="9" t="inlineStr">
        <is>
          <t>Yes</t>
        </is>
      </c>
      <c r="N6" s="9" t="inlineStr">
        <is>
          <t>No</t>
        </is>
      </c>
      <c r="O6" s="9" t="inlineStr">
        <is>
          <t>Yes</t>
        </is>
      </c>
      <c r="P6" s="9" t="inlineStr">
        <is>
          <t>Yes</t>
        </is>
      </c>
      <c r="Q6" s="9" t="inlineStr">
        <is>
          <t>No</t>
        </is>
      </c>
      <c r="R6" s="9" t="inlineStr">
        <is>
          <t>Yes</t>
        </is>
      </c>
      <c r="S6" s="9" t="inlineStr">
        <is>
          <t>Yes</t>
        </is>
      </c>
      <c r="T6" s="9" t="inlineStr">
        <is>
          <t>Yes</t>
        </is>
      </c>
      <c r="U6" s="9" t="inlineStr">
        <is>
          <t>Partial</t>
        </is>
      </c>
      <c r="V6" s="9" t="inlineStr">
        <is>
          <t>No</t>
        </is>
      </c>
      <c r="W6" s="9" t="inlineStr">
        <is>
          <t>No</t>
        </is>
      </c>
      <c r="X6" s="9" t="inlineStr">
        <is>
          <t>Yes</t>
        </is>
      </c>
      <c r="Y6" s="9" t="inlineStr">
        <is>
          <t>Yes</t>
        </is>
      </c>
      <c r="Z6" s="9" t="inlineStr">
        <is>
          <t>Yes</t>
        </is>
      </c>
      <c r="AA6" s="9" t="inlineStr">
        <is>
          <t>Yes</t>
        </is>
      </c>
      <c r="AB6" s="9" t="inlineStr">
        <is>
          <t>Yes</t>
        </is>
      </c>
      <c r="AC6" s="9" t="inlineStr">
        <is>
          <t>Partial</t>
        </is>
      </c>
      <c r="AD6" s="9" t="inlineStr">
        <is>
          <t>Yes</t>
        </is>
      </c>
      <c r="AE6" s="9" t="inlineStr">
        <is>
          <t>No</t>
        </is>
      </c>
      <c r="AF6" s="9" t="inlineStr">
        <is>
          <t>Yes</t>
        </is>
      </c>
      <c r="AG6" s="9" t="inlineStr">
        <is>
          <t>No</t>
        </is>
      </c>
      <c r="AH6" s="9" t="inlineStr">
        <is>
          <t>Yes</t>
        </is>
      </c>
      <c r="AI6" s="9" t="inlineStr">
        <is>
          <t>No</t>
        </is>
      </c>
      <c r="AJ6" s="9" t="inlineStr">
        <is>
          <t>No</t>
        </is>
      </c>
      <c r="AK6" s="9" t="inlineStr">
        <is>
          <t>No</t>
        </is>
      </c>
      <c r="AL6" s="9" t="inlineStr">
        <is>
          <t>Yes</t>
        </is>
      </c>
      <c r="AM6" s="9" t="inlineStr">
        <is>
          <t>Yes</t>
        </is>
      </c>
      <c r="AN6" s="9" t="inlineStr">
        <is>
          <t>Yes</t>
        </is>
      </c>
      <c r="AO6" s="9" t="inlineStr">
        <is>
          <t>Yes</t>
        </is>
      </c>
      <c r="AP6" s="9" t="inlineStr">
        <is>
          <t>Partial</t>
        </is>
      </c>
      <c r="AQ6" s="9" t="inlineStr">
        <is>
          <t>Yes</t>
        </is>
      </c>
      <c r="AR6" s="13">
        <f>IFERROR((COUNTIF(F6:K6,"Yes")+0.5*COUNTIF(F6:K6,"Partial"))/(COUNTA(F6:K6)-COUNTIF(F6:K6,"NA"))*100,"")</f>
        <v/>
      </c>
      <c r="AS6" s="13">
        <f>IFERROR((COUNTIF(L6:Q6,"Yes")+0.5*COUNTIF(L6:Q6,"Partial"))/(COUNTA(L6:Q6)-COUNTIF(L6:Q6,"NA"))*100,"")</f>
        <v/>
      </c>
      <c r="AT6" s="13">
        <f>IFERROR((COUNTIF(R6:U6,"Yes")+0.5*COUNTIF(R6:U6,"Partial"))/(COUNTA(R6:U6)-COUNTIF(R6:U6,"NA"))*100,"")</f>
        <v/>
      </c>
      <c r="AU6" s="13">
        <f>IFERROR((COUNTIF(V6:Y6,"Yes")+0.5*COUNTIF(V6:Y6,"Partial"))/(COUNTA(V6:Y6)-COUNTIF(V6:Y6,"NA"))*100,"")</f>
        <v/>
      </c>
      <c r="AV6" s="13">
        <f>IFERROR((COUNTIF(Z6:AE6,"Yes")+0.5*COUNTIF(Z6:AE6,"Partial"))/(COUNTA(Z6:AE6)-COUNTIF(Z6:AE6,"NA"))*100,"")</f>
        <v/>
      </c>
      <c r="AW6" s="13">
        <f>IFERROR((COUNTIF(AF6:AJ6,"Yes")+0.5*COUNTIF(AF6:AJ6,"Partial"))/(COUNTA(AF6:AJ6)-COUNTIF(AF6:AJ6,"NA"))*100,"")</f>
        <v/>
      </c>
      <c r="AX6" s="13">
        <f>IFERROR((COUNTIF(AK6:AM6,"Yes")+0.5*COUNTIF(AK6:AM6,"Partial"))/(COUNTA(AK6:AM6)-COUNTIF(AK6:AM6,"NA"))*100,"")</f>
        <v/>
      </c>
      <c r="AY6" s="13">
        <f>IFERROR((COUNTIF(AN6:AQ6,"Yes")+0.5*COUNTIF(AN6:AQ6,"Partial"))/(COUNTA(AN6:AQ6)-COUNTIF(AN6:AQ6,"NA"))*100,"")</f>
        <v/>
      </c>
      <c r="AZ6" s="14">
        <f>IFERROR(AVERAGE(IF(ISNUMBER(AR6:AY6),AR6:AY6)),"")</f>
        <v/>
      </c>
      <c r="BA6" s="15">
        <f>IF(AZ6="","",IF(AZ6&gt;=80,"Compliant",IF(AZ6&gt;=50,"Partial","Non-Compliant")))</f>
        <v/>
      </c>
      <c r="BB6" s="11" t="n"/>
    </row>
    <row r="7" ht="15" customHeight="1">
      <c r="A7" s="9" t="n">
        <v>5</v>
      </c>
      <c r="B7" s="10" t="inlineStr">
        <is>
          <t>NC 2</t>
        </is>
      </c>
      <c r="C7" s="10" t="inlineStr">
        <is>
          <t>Nek Chand Block</t>
        </is>
      </c>
      <c r="D7" s="11" t="inlineStr">
        <is>
          <t>Vaibhav Tiwari</t>
        </is>
      </c>
      <c r="E7" s="12" t="inlineStr">
        <is>
          <t>26-Sep-2026</t>
        </is>
      </c>
      <c r="F7" s="9" t="inlineStr">
        <is>
          <t>Yes</t>
        </is>
      </c>
      <c r="G7" s="9" t="inlineStr">
        <is>
          <t>No</t>
        </is>
      </c>
      <c r="H7" s="9" t="inlineStr">
        <is>
          <t>No</t>
        </is>
      </c>
      <c r="I7" s="9" t="inlineStr">
        <is>
          <t>No</t>
        </is>
      </c>
      <c r="J7" s="9" t="inlineStr">
        <is>
          <t>No</t>
        </is>
      </c>
      <c r="K7" s="9" t="inlineStr">
        <is>
          <t>Yes</t>
        </is>
      </c>
      <c r="L7" s="9" t="inlineStr">
        <is>
          <t>yes</t>
        </is>
      </c>
      <c r="M7" s="9" t="inlineStr">
        <is>
          <t>Yes</t>
        </is>
      </c>
      <c r="N7" s="9" t="inlineStr">
        <is>
          <t>No</t>
        </is>
      </c>
      <c r="O7" s="9" t="inlineStr">
        <is>
          <t>Yes</t>
        </is>
      </c>
      <c r="P7" s="9" t="inlineStr">
        <is>
          <t>Yes</t>
        </is>
      </c>
      <c r="Q7" s="9" t="inlineStr">
        <is>
          <t>No</t>
        </is>
      </c>
      <c r="R7" s="9" t="inlineStr">
        <is>
          <t>Yes</t>
        </is>
      </c>
      <c r="S7" s="9" t="inlineStr">
        <is>
          <t>Yes</t>
        </is>
      </c>
      <c r="T7" s="9" t="inlineStr">
        <is>
          <t>Yes</t>
        </is>
      </c>
      <c r="U7" s="9" t="inlineStr">
        <is>
          <t>Partial</t>
        </is>
      </c>
      <c r="V7" s="9" t="inlineStr">
        <is>
          <t>No</t>
        </is>
      </c>
      <c r="W7" s="9" t="inlineStr">
        <is>
          <t>No</t>
        </is>
      </c>
      <c r="X7" s="9" t="inlineStr">
        <is>
          <t>Yes</t>
        </is>
      </c>
      <c r="Y7" s="9" t="inlineStr">
        <is>
          <t>Yes</t>
        </is>
      </c>
      <c r="Z7" s="9" t="inlineStr">
        <is>
          <t>Yes</t>
        </is>
      </c>
      <c r="AA7" s="9" t="inlineStr">
        <is>
          <t>Yes</t>
        </is>
      </c>
      <c r="AB7" s="9" t="inlineStr">
        <is>
          <t>Yes</t>
        </is>
      </c>
      <c r="AC7" s="9" t="inlineStr">
        <is>
          <t>Partial</t>
        </is>
      </c>
      <c r="AD7" s="9" t="inlineStr">
        <is>
          <t>Yes</t>
        </is>
      </c>
      <c r="AE7" s="9" t="inlineStr">
        <is>
          <t>No</t>
        </is>
      </c>
      <c r="AF7" s="9" t="inlineStr">
        <is>
          <t>Yes</t>
        </is>
      </c>
      <c r="AG7" s="9" t="inlineStr">
        <is>
          <t>No</t>
        </is>
      </c>
      <c r="AH7" s="9" t="inlineStr">
        <is>
          <t>Yes</t>
        </is>
      </c>
      <c r="AI7" s="9" t="inlineStr">
        <is>
          <t>No</t>
        </is>
      </c>
      <c r="AJ7" s="9" t="inlineStr">
        <is>
          <t>No</t>
        </is>
      </c>
      <c r="AK7" s="9" t="inlineStr">
        <is>
          <t>No</t>
        </is>
      </c>
      <c r="AL7" s="9" t="inlineStr">
        <is>
          <t>Yes</t>
        </is>
      </c>
      <c r="AM7" s="9" t="inlineStr">
        <is>
          <t>Yes</t>
        </is>
      </c>
      <c r="AN7" s="9" t="inlineStr">
        <is>
          <t>Yes</t>
        </is>
      </c>
      <c r="AO7" s="9" t="inlineStr">
        <is>
          <t>Yes</t>
        </is>
      </c>
      <c r="AP7" s="9" t="inlineStr">
        <is>
          <t>Partial</t>
        </is>
      </c>
      <c r="AQ7" s="9" t="inlineStr">
        <is>
          <t>Yes</t>
        </is>
      </c>
      <c r="AR7" s="13">
        <f>IFERROR((COUNTIF(F7:K7,"Yes")+0.5*COUNTIF(F7:K7,"Partial"))/(COUNTA(F7:K7)-COUNTIF(F7:K7,"NA"))*100,"")</f>
        <v/>
      </c>
      <c r="AS7" s="13">
        <f>IFERROR((COUNTIF(L7:Q7,"Yes")+0.5*COUNTIF(L7:Q7,"Partial"))/(COUNTA(L7:Q7)-COUNTIF(L7:Q7,"NA"))*100,"")</f>
        <v/>
      </c>
      <c r="AT7" s="13">
        <f>IFERROR((COUNTIF(R7:U7,"Yes")+0.5*COUNTIF(R7:U7,"Partial"))/(COUNTA(R7:U7)-COUNTIF(R7:U7,"NA"))*100,"")</f>
        <v/>
      </c>
      <c r="AU7" s="13">
        <f>IFERROR((COUNTIF(V7:Y7,"Yes")+0.5*COUNTIF(V7:Y7,"Partial"))/(COUNTA(V7:Y7)-COUNTIF(V7:Y7,"NA"))*100,"")</f>
        <v/>
      </c>
      <c r="AV7" s="13">
        <f>IFERROR((COUNTIF(Z7:AE7,"Yes")+0.5*COUNTIF(Z7:AE7,"Partial"))/(COUNTA(Z7:AE7)-COUNTIF(Z7:AE7,"NA"))*100,"")</f>
        <v/>
      </c>
      <c r="AW7" s="13">
        <f>IFERROR((COUNTIF(AF7:AJ7,"Yes")+0.5*COUNTIF(AF7:AJ7,"Partial"))/(COUNTA(AF7:AJ7)-COUNTIF(AF7:AJ7,"NA"))*100,"")</f>
        <v/>
      </c>
      <c r="AX7" s="13">
        <f>IFERROR((COUNTIF(AK7:AM7,"Yes")+0.5*COUNTIF(AK7:AM7,"Partial"))/(COUNTA(AK7:AM7)-COUNTIF(AK7:AM7,"NA"))*100,"")</f>
        <v/>
      </c>
      <c r="AY7" s="13">
        <f>IFERROR((COUNTIF(AN7:AQ7,"Yes")+0.5*COUNTIF(AN7:AQ7,"Partial"))/(COUNTA(AN7:AQ7)-COUNTIF(AN7:AQ7,"NA"))*100,"")</f>
        <v/>
      </c>
      <c r="AZ7" s="14">
        <f>IFERROR(AVERAGE(IF(ISNUMBER(AR7:AY7),AR7:AY7)),"")</f>
        <v/>
      </c>
      <c r="BA7" s="15">
        <f>IF(AZ7="","",IF(AZ7&gt;=80,"Compliant",IF(AZ7&gt;=50,"Partial","Non-Compliant")))</f>
        <v/>
      </c>
      <c r="BB7" s="11" t="n"/>
    </row>
    <row r="8" ht="15" customHeight="1">
      <c r="A8" s="9" t="n">
        <v>6</v>
      </c>
      <c r="B8" s="10" t="inlineStr">
        <is>
          <t>NC 3</t>
        </is>
      </c>
      <c r="C8" s="10" t="inlineStr">
        <is>
          <t>Nek Chand Block</t>
        </is>
      </c>
      <c r="D8" s="11" t="inlineStr">
        <is>
          <t>Vaibhav Tiwari</t>
        </is>
      </c>
      <c r="E8" s="12" t="inlineStr">
        <is>
          <t>26-Sep-2026</t>
        </is>
      </c>
      <c r="F8" s="9" t="inlineStr">
        <is>
          <t>Yes</t>
        </is>
      </c>
      <c r="G8" s="9" t="inlineStr">
        <is>
          <t>No</t>
        </is>
      </c>
      <c r="H8" s="9" t="inlineStr">
        <is>
          <t>No</t>
        </is>
      </c>
      <c r="I8" s="9" t="inlineStr">
        <is>
          <t>No</t>
        </is>
      </c>
      <c r="J8" s="9" t="inlineStr">
        <is>
          <t>No</t>
        </is>
      </c>
      <c r="K8" s="9" t="inlineStr">
        <is>
          <t>Yes</t>
        </is>
      </c>
      <c r="L8" s="9" t="inlineStr">
        <is>
          <t>Yes</t>
        </is>
      </c>
      <c r="M8" s="9" t="inlineStr">
        <is>
          <t>Yes</t>
        </is>
      </c>
      <c r="N8" s="9" t="inlineStr">
        <is>
          <t>No</t>
        </is>
      </c>
      <c r="O8" s="9" t="inlineStr">
        <is>
          <t>Yes</t>
        </is>
      </c>
      <c r="P8" s="9" t="inlineStr">
        <is>
          <t>Yes</t>
        </is>
      </c>
      <c r="Q8" s="9" t="inlineStr">
        <is>
          <t>No</t>
        </is>
      </c>
      <c r="R8" s="9" t="inlineStr">
        <is>
          <t>Yes</t>
        </is>
      </c>
      <c r="S8" s="9" t="inlineStr">
        <is>
          <t>Yes</t>
        </is>
      </c>
      <c r="T8" s="9" t="inlineStr">
        <is>
          <t>Yes</t>
        </is>
      </c>
      <c r="U8" s="9" t="inlineStr">
        <is>
          <t>Partial</t>
        </is>
      </c>
      <c r="V8" s="9" t="inlineStr">
        <is>
          <t>No</t>
        </is>
      </c>
      <c r="W8" s="9" t="inlineStr">
        <is>
          <t>No</t>
        </is>
      </c>
      <c r="X8" s="9" t="inlineStr">
        <is>
          <t>Yes</t>
        </is>
      </c>
      <c r="Y8" s="9" t="inlineStr">
        <is>
          <t>Yes</t>
        </is>
      </c>
      <c r="Z8" s="9" t="inlineStr">
        <is>
          <t>Yes</t>
        </is>
      </c>
      <c r="AA8" s="9" t="inlineStr">
        <is>
          <t>Yes</t>
        </is>
      </c>
      <c r="AB8" s="9" t="inlineStr">
        <is>
          <t>Yes</t>
        </is>
      </c>
      <c r="AC8" s="9" t="inlineStr">
        <is>
          <t>Partial</t>
        </is>
      </c>
      <c r="AD8" s="9" t="inlineStr">
        <is>
          <t>Yes</t>
        </is>
      </c>
      <c r="AE8" s="9" t="inlineStr">
        <is>
          <t>No</t>
        </is>
      </c>
      <c r="AF8" s="9" t="inlineStr">
        <is>
          <t>Yes</t>
        </is>
      </c>
      <c r="AG8" s="9" t="inlineStr">
        <is>
          <t>No</t>
        </is>
      </c>
      <c r="AH8" s="9" t="inlineStr">
        <is>
          <t>Yes</t>
        </is>
      </c>
      <c r="AI8" s="9" t="inlineStr">
        <is>
          <t>No</t>
        </is>
      </c>
      <c r="AJ8" s="9" t="inlineStr">
        <is>
          <t>No</t>
        </is>
      </c>
      <c r="AK8" s="9" t="inlineStr">
        <is>
          <t>No</t>
        </is>
      </c>
      <c r="AL8" s="9" t="inlineStr">
        <is>
          <t>Yes</t>
        </is>
      </c>
      <c r="AM8" s="9" t="inlineStr">
        <is>
          <t>Yes</t>
        </is>
      </c>
      <c r="AN8" s="9" t="inlineStr">
        <is>
          <t>Yes</t>
        </is>
      </c>
      <c r="AO8" s="9" t="inlineStr">
        <is>
          <t>Yes</t>
        </is>
      </c>
      <c r="AP8" s="9" t="inlineStr">
        <is>
          <t>Partial</t>
        </is>
      </c>
      <c r="AQ8" s="9" t="inlineStr">
        <is>
          <t>Yes</t>
        </is>
      </c>
      <c r="AR8" s="13">
        <f>IFERROR((COUNTIF(F8:K8,"Yes")+0.5*COUNTIF(F8:K8,"Partial"))/(COUNTA(F8:K8)-COUNTIF(F8:K8,"NA"))*100,"")</f>
        <v/>
      </c>
      <c r="AS8" s="13">
        <f>IFERROR((COUNTIF(L8:Q8,"Yes")+0.5*COUNTIF(L8:Q8,"Partial"))/(COUNTA(L8:Q8)-COUNTIF(L8:Q8,"NA"))*100,"")</f>
        <v/>
      </c>
      <c r="AT8" s="13">
        <f>IFERROR((COUNTIF(R8:U8,"Yes")+0.5*COUNTIF(R8:U8,"Partial"))/(COUNTA(R8:U8)-COUNTIF(R8:U8,"NA"))*100,"")</f>
        <v/>
      </c>
      <c r="AU8" s="13">
        <f>IFERROR((COUNTIF(V8:Y8,"Yes")+0.5*COUNTIF(V8:Y8,"Partial"))/(COUNTA(V8:Y8)-COUNTIF(V8:Y8,"NA"))*100,"")</f>
        <v/>
      </c>
      <c r="AV8" s="13">
        <f>IFERROR((COUNTIF(Z8:AE8,"Yes")+0.5*COUNTIF(Z8:AE8,"Partial"))/(COUNTA(Z8:AE8)-COUNTIF(Z8:AE8,"NA"))*100,"")</f>
        <v/>
      </c>
      <c r="AW8" s="13">
        <f>IFERROR((COUNTIF(AF8:AJ8,"Yes")+0.5*COUNTIF(AF8:AJ8,"Partial"))/(COUNTA(AF8:AJ8)-COUNTIF(AF8:AJ8,"NA"))*100,"")</f>
        <v/>
      </c>
      <c r="AX8" s="13">
        <f>IFERROR((COUNTIF(AK8:AM8,"Yes")+0.5*COUNTIF(AK8:AM8,"Partial"))/(COUNTA(AK8:AM8)-COUNTIF(AK8:AM8,"NA"))*100,"")</f>
        <v/>
      </c>
      <c r="AY8" s="13">
        <f>IFERROR((COUNTIF(AN8:AQ8,"Yes")+0.5*COUNTIF(AN8:AQ8,"Partial"))/(COUNTA(AN8:AQ8)-COUNTIF(AN8:AQ8,"NA"))*100,"")</f>
        <v/>
      </c>
      <c r="AZ8" s="14">
        <f>IFERROR(AVERAGE(IF(ISNUMBER(AR8:AY8),AR8:AY8)),"")</f>
        <v/>
      </c>
      <c r="BA8" s="15">
        <f>IF(AZ8="","",IF(AZ8&gt;=80,"Compliant",IF(AZ8&gt;=50,"Partial","Non-Compliant")))</f>
        <v/>
      </c>
      <c r="BB8" s="11" t="n"/>
    </row>
    <row r="9" ht="15" customHeight="1">
      <c r="A9" s="9" t="n">
        <v>7</v>
      </c>
      <c r="B9" s="10" t="inlineStr">
        <is>
          <t>NC 4</t>
        </is>
      </c>
      <c r="C9" s="10" t="inlineStr">
        <is>
          <t>Nek Chand Block</t>
        </is>
      </c>
      <c r="D9" s="11" t="inlineStr">
        <is>
          <t>Vaibhav Tiwari</t>
        </is>
      </c>
      <c r="E9" s="12" t="inlineStr">
        <is>
          <t>26-Sep-2026</t>
        </is>
      </c>
      <c r="F9" s="9" t="inlineStr">
        <is>
          <t>Yes</t>
        </is>
      </c>
      <c r="G9" s="9" t="inlineStr">
        <is>
          <t>No</t>
        </is>
      </c>
      <c r="H9" s="9" t="inlineStr">
        <is>
          <t>No</t>
        </is>
      </c>
      <c r="I9" s="9" t="inlineStr">
        <is>
          <t>No</t>
        </is>
      </c>
      <c r="J9" s="9" t="inlineStr">
        <is>
          <t>No</t>
        </is>
      </c>
      <c r="K9" s="9" t="inlineStr">
        <is>
          <t>Yes</t>
        </is>
      </c>
      <c r="L9" s="9" t="inlineStr">
        <is>
          <t>Yes</t>
        </is>
      </c>
      <c r="M9" s="9" t="inlineStr">
        <is>
          <t>Yes</t>
        </is>
      </c>
      <c r="N9" s="9" t="inlineStr">
        <is>
          <t>No</t>
        </is>
      </c>
      <c r="O9" s="9" t="inlineStr">
        <is>
          <t>Yes</t>
        </is>
      </c>
      <c r="P9" s="9" t="inlineStr">
        <is>
          <t>Yes</t>
        </is>
      </c>
      <c r="Q9" s="9" t="inlineStr">
        <is>
          <t>No</t>
        </is>
      </c>
      <c r="R9" s="9" t="inlineStr">
        <is>
          <t>Yes</t>
        </is>
      </c>
      <c r="S9" s="9" t="inlineStr">
        <is>
          <t>Yes</t>
        </is>
      </c>
      <c r="T9" s="9" t="inlineStr">
        <is>
          <t>Yes</t>
        </is>
      </c>
      <c r="U9" s="9" t="inlineStr">
        <is>
          <t>Partial</t>
        </is>
      </c>
      <c r="V9" s="9" t="inlineStr">
        <is>
          <t>No</t>
        </is>
      </c>
      <c r="W9" s="9" t="inlineStr">
        <is>
          <t>No</t>
        </is>
      </c>
      <c r="X9" s="9" t="inlineStr">
        <is>
          <t>Yes</t>
        </is>
      </c>
      <c r="Y9" s="9" t="inlineStr">
        <is>
          <t>Yes</t>
        </is>
      </c>
      <c r="Z9" s="9" t="inlineStr">
        <is>
          <t>Yes</t>
        </is>
      </c>
      <c r="AA9" s="9" t="inlineStr">
        <is>
          <t>Yes</t>
        </is>
      </c>
      <c r="AB9" s="9" t="inlineStr">
        <is>
          <t>Yes</t>
        </is>
      </c>
      <c r="AC9" s="9" t="inlineStr">
        <is>
          <t>Partial</t>
        </is>
      </c>
      <c r="AD9" s="9" t="inlineStr">
        <is>
          <t>Yes</t>
        </is>
      </c>
      <c r="AE9" s="9" t="inlineStr">
        <is>
          <t>No</t>
        </is>
      </c>
      <c r="AF9" s="9" t="inlineStr">
        <is>
          <t>Yes</t>
        </is>
      </c>
      <c r="AG9" s="9" t="inlineStr">
        <is>
          <t>No</t>
        </is>
      </c>
      <c r="AH9" s="9" t="inlineStr">
        <is>
          <t>Yes</t>
        </is>
      </c>
      <c r="AI9" s="9" t="inlineStr">
        <is>
          <t>No</t>
        </is>
      </c>
      <c r="AJ9" s="9" t="inlineStr">
        <is>
          <t>No</t>
        </is>
      </c>
      <c r="AK9" s="9" t="inlineStr">
        <is>
          <t>No</t>
        </is>
      </c>
      <c r="AL9" s="9" t="inlineStr">
        <is>
          <t>Yes</t>
        </is>
      </c>
      <c r="AM9" s="9" t="inlineStr">
        <is>
          <t>Yes</t>
        </is>
      </c>
      <c r="AN9" s="9" t="inlineStr">
        <is>
          <t>Yes</t>
        </is>
      </c>
      <c r="AO9" s="9" t="inlineStr">
        <is>
          <t>Yes</t>
        </is>
      </c>
      <c r="AP9" s="9" t="inlineStr">
        <is>
          <t>Partial</t>
        </is>
      </c>
      <c r="AQ9" s="9" t="inlineStr">
        <is>
          <t>Yes</t>
        </is>
      </c>
      <c r="AR9" s="13">
        <f>IFERROR((COUNTIF(F9:K9,"Yes")+0.5*COUNTIF(F9:K9,"Partial"))/(COUNTA(F9:K9)-COUNTIF(F9:K9,"NA"))*100,"")</f>
        <v/>
      </c>
      <c r="AS9" s="13">
        <f>IFERROR((COUNTIF(L9:Q9,"Yes")+0.5*COUNTIF(L9:Q9,"Partial"))/(COUNTA(L9:Q9)-COUNTIF(L9:Q9,"NA"))*100,"")</f>
        <v/>
      </c>
      <c r="AT9" s="13">
        <f>IFERROR((COUNTIF(R9:U9,"Yes")+0.5*COUNTIF(R9:U9,"Partial"))/(COUNTA(R9:U9)-COUNTIF(R9:U9,"NA"))*100,"")</f>
        <v/>
      </c>
      <c r="AU9" s="13">
        <f>IFERROR((COUNTIF(V9:Y9,"Yes")+0.5*COUNTIF(V9:Y9,"Partial"))/(COUNTA(V9:Y9)-COUNTIF(V9:Y9,"NA"))*100,"")</f>
        <v/>
      </c>
      <c r="AV9" s="13">
        <f>IFERROR((COUNTIF(Z9:AE9,"Yes")+0.5*COUNTIF(Z9:AE9,"Partial"))/(COUNTA(Z9:AE9)-COUNTIF(Z9:AE9,"NA"))*100,"")</f>
        <v/>
      </c>
      <c r="AW9" s="13">
        <f>IFERROR((COUNTIF(AF9:AJ9,"Yes")+0.5*COUNTIF(AF9:AJ9,"Partial"))/(COUNTA(AF9:AJ9)-COUNTIF(AF9:AJ9,"NA"))*100,"")</f>
        <v/>
      </c>
      <c r="AX9" s="13">
        <f>IFERROR((COUNTIF(AK9:AM9,"Yes")+0.5*COUNTIF(AK9:AM9,"Partial"))/(COUNTA(AK9:AM9)-COUNTIF(AK9:AM9,"NA"))*100,"")</f>
        <v/>
      </c>
      <c r="AY9" s="13">
        <f>IFERROR((COUNTIF(AN9:AQ9,"Yes")+0.5*COUNTIF(AN9:AQ9,"Partial"))/(COUNTA(AN9:AQ9)-COUNTIF(AN9:AQ9,"NA"))*100,"")</f>
        <v/>
      </c>
      <c r="AZ9" s="14">
        <f>IFERROR(AVERAGE(IF(ISNUMBER(AR9:AY9),AR9:AY9)),"")</f>
        <v/>
      </c>
      <c r="BA9" s="15">
        <f>IF(AZ9="","",IF(AZ9&gt;=80,"Compliant",IF(AZ9&gt;=50,"Partial","Non-Compliant")))</f>
        <v/>
      </c>
      <c r="BB9" s="11" t="n"/>
    </row>
    <row r="10" ht="15" customHeight="1">
      <c r="A10" s="9" t="n">
        <v>8</v>
      </c>
      <c r="B10" s="10" t="inlineStr">
        <is>
          <t>NC 5</t>
        </is>
      </c>
      <c r="C10" s="10" t="inlineStr">
        <is>
          <t>Nek Chand Block</t>
        </is>
      </c>
      <c r="D10" s="11" t="inlineStr">
        <is>
          <t>Vaibhav Tiwari</t>
        </is>
      </c>
      <c r="E10" s="12" t="inlineStr">
        <is>
          <t>26-Sep-2026</t>
        </is>
      </c>
      <c r="F10" s="9" t="inlineStr">
        <is>
          <t>Yes</t>
        </is>
      </c>
      <c r="G10" s="9" t="inlineStr">
        <is>
          <t>No</t>
        </is>
      </c>
      <c r="H10" s="9" t="inlineStr">
        <is>
          <t>No</t>
        </is>
      </c>
      <c r="I10" s="9" t="inlineStr">
        <is>
          <t>No</t>
        </is>
      </c>
      <c r="J10" s="9" t="inlineStr">
        <is>
          <t>No</t>
        </is>
      </c>
      <c r="K10" s="9" t="inlineStr">
        <is>
          <t>Yes</t>
        </is>
      </c>
      <c r="L10" s="9" t="inlineStr">
        <is>
          <t>Yes</t>
        </is>
      </c>
      <c r="M10" s="9" t="inlineStr">
        <is>
          <t>Yes</t>
        </is>
      </c>
      <c r="N10" s="9" t="inlineStr">
        <is>
          <t>No</t>
        </is>
      </c>
      <c r="O10" s="9" t="inlineStr">
        <is>
          <t>Yes</t>
        </is>
      </c>
      <c r="P10" s="9" t="inlineStr">
        <is>
          <t>Yes</t>
        </is>
      </c>
      <c r="Q10" s="9" t="inlineStr">
        <is>
          <t>No</t>
        </is>
      </c>
      <c r="R10" s="9" t="inlineStr">
        <is>
          <t>Yes</t>
        </is>
      </c>
      <c r="S10" s="9" t="inlineStr">
        <is>
          <t>Yes</t>
        </is>
      </c>
      <c r="T10" s="9" t="inlineStr">
        <is>
          <t>Yes</t>
        </is>
      </c>
      <c r="U10" s="9" t="inlineStr">
        <is>
          <t>Partial</t>
        </is>
      </c>
      <c r="V10" s="9" t="inlineStr">
        <is>
          <t>No</t>
        </is>
      </c>
      <c r="W10" s="9" t="inlineStr">
        <is>
          <t>No</t>
        </is>
      </c>
      <c r="X10" s="9" t="inlineStr">
        <is>
          <t>Yes</t>
        </is>
      </c>
      <c r="Y10" s="9" t="inlineStr">
        <is>
          <t>Yes</t>
        </is>
      </c>
      <c r="Z10" s="9" t="inlineStr">
        <is>
          <t>Yes</t>
        </is>
      </c>
      <c r="AA10" s="9" t="inlineStr">
        <is>
          <t>Yes</t>
        </is>
      </c>
      <c r="AB10" s="9" t="inlineStr">
        <is>
          <t>Yes</t>
        </is>
      </c>
      <c r="AC10" s="9" t="inlineStr">
        <is>
          <t>Partial</t>
        </is>
      </c>
      <c r="AD10" s="9" t="inlineStr">
        <is>
          <t>Yes</t>
        </is>
      </c>
      <c r="AE10" s="9" t="inlineStr">
        <is>
          <t>No</t>
        </is>
      </c>
      <c r="AF10" s="9" t="inlineStr">
        <is>
          <t>Yes</t>
        </is>
      </c>
      <c r="AG10" s="9" t="inlineStr">
        <is>
          <t>No</t>
        </is>
      </c>
      <c r="AH10" s="9" t="inlineStr">
        <is>
          <t>Yes</t>
        </is>
      </c>
      <c r="AI10" s="9" t="inlineStr">
        <is>
          <t>No</t>
        </is>
      </c>
      <c r="AJ10" s="9" t="inlineStr">
        <is>
          <t>No</t>
        </is>
      </c>
      <c r="AK10" s="9" t="inlineStr">
        <is>
          <t>No</t>
        </is>
      </c>
      <c r="AL10" s="9" t="inlineStr">
        <is>
          <t>Yes</t>
        </is>
      </c>
      <c r="AM10" s="9" t="inlineStr">
        <is>
          <t>Yes</t>
        </is>
      </c>
      <c r="AN10" s="9" t="inlineStr">
        <is>
          <t>Yes</t>
        </is>
      </c>
      <c r="AO10" s="9" t="inlineStr">
        <is>
          <t>Yes</t>
        </is>
      </c>
      <c r="AP10" s="9" t="inlineStr">
        <is>
          <t>Partial</t>
        </is>
      </c>
      <c r="AQ10" s="9" t="inlineStr">
        <is>
          <t>Yes</t>
        </is>
      </c>
      <c r="AR10" s="13">
        <f>IFERROR((COUNTIF(F10:K10,"Yes")+0.5*COUNTIF(F10:K10,"Partial"))/(COUNTA(F10:K10)-COUNTIF(F10:K10,"NA"))*100,"")</f>
        <v/>
      </c>
      <c r="AS10" s="13">
        <f>IFERROR((COUNTIF(L10:Q10,"Yes")+0.5*COUNTIF(L10:Q10,"Partial"))/(COUNTA(L10:Q10)-COUNTIF(L10:Q10,"NA"))*100,"")</f>
        <v/>
      </c>
      <c r="AT10" s="13">
        <f>IFERROR((COUNTIF(R10:U10,"Yes")+0.5*COUNTIF(R10:U10,"Partial"))/(COUNTA(R10:U10)-COUNTIF(R10:U10,"NA"))*100,"")</f>
        <v/>
      </c>
      <c r="AU10" s="13">
        <f>IFERROR((COUNTIF(V10:Y10,"Yes")+0.5*COUNTIF(V10:Y10,"Partial"))/(COUNTA(V10:Y10)-COUNTIF(V10:Y10,"NA"))*100,"")</f>
        <v/>
      </c>
      <c r="AV10" s="13">
        <f>IFERROR((COUNTIF(Z10:AE10,"Yes")+0.5*COUNTIF(Z10:AE10,"Partial"))/(COUNTA(Z10:AE10)-COUNTIF(Z10:AE10,"NA"))*100,"")</f>
        <v/>
      </c>
      <c r="AW10" s="13">
        <f>IFERROR((COUNTIF(AF10:AJ10,"Yes")+0.5*COUNTIF(AF10:AJ10,"Partial"))/(COUNTA(AF10:AJ10)-COUNTIF(AF10:AJ10,"NA"))*100,"")</f>
        <v/>
      </c>
      <c r="AX10" s="13">
        <f>IFERROR((COUNTIF(AK10:AM10,"Yes")+0.5*COUNTIF(AK10:AM10,"Partial"))/(COUNTA(AK10:AM10)-COUNTIF(AK10:AM10,"NA"))*100,"")</f>
        <v/>
      </c>
      <c r="AY10" s="13">
        <f>IFERROR((COUNTIF(AN10:AQ10,"Yes")+0.5*COUNTIF(AN10:AQ10,"Partial"))/(COUNTA(AN10:AQ10)-COUNTIF(AN10:AQ10,"NA"))*100,"")</f>
        <v/>
      </c>
      <c r="AZ10" s="14">
        <f>IFERROR(AVERAGE(IF(ISNUMBER(AR10:AY10),AR10:AY10)),"")</f>
        <v/>
      </c>
      <c r="BA10" s="15">
        <f>IF(AZ10="","",IF(AZ10&gt;=80,"Compliant",IF(AZ10&gt;=50,"Partial","Non-Compliant")))</f>
        <v/>
      </c>
      <c r="BB10" s="11" t="n"/>
    </row>
    <row r="11" ht="15" customHeight="1">
      <c r="A11" s="9" t="n">
        <v>9</v>
      </c>
      <c r="B11" s="10" t="inlineStr">
        <is>
          <t>D1</t>
        </is>
      </c>
      <c r="C11" s="10" t="inlineStr">
        <is>
          <t>D Block</t>
        </is>
      </c>
      <c r="D11" s="11" t="inlineStr">
        <is>
          <t>Vaibhav Tiwari</t>
        </is>
      </c>
      <c r="E11" s="12" t="inlineStr">
        <is>
          <t>26-Sep-2026</t>
        </is>
      </c>
      <c r="F11" s="9" t="inlineStr">
        <is>
          <t>Yes</t>
        </is>
      </c>
      <c r="G11" s="9" t="inlineStr">
        <is>
          <t>Yes</t>
        </is>
      </c>
      <c r="H11" s="9" t="inlineStr">
        <is>
          <t>Yes</t>
        </is>
      </c>
      <c r="I11" s="9" t="inlineStr">
        <is>
          <t>Yes</t>
        </is>
      </c>
      <c r="J11" s="9" t="inlineStr">
        <is>
          <t>Partial</t>
        </is>
      </c>
      <c r="K11" s="9" t="inlineStr">
        <is>
          <t>Yes</t>
        </is>
      </c>
      <c r="L11" s="9" t="inlineStr">
        <is>
          <t>Yes</t>
        </is>
      </c>
      <c r="M11" s="9" t="inlineStr">
        <is>
          <t>Yes</t>
        </is>
      </c>
      <c r="N11" s="9" t="inlineStr">
        <is>
          <t>No</t>
        </is>
      </c>
      <c r="O11" s="9" t="inlineStr">
        <is>
          <t>Yes</t>
        </is>
      </c>
      <c r="P11" s="9" t="inlineStr">
        <is>
          <t>Yes</t>
        </is>
      </c>
      <c r="Q11" s="9" t="inlineStr">
        <is>
          <t>No</t>
        </is>
      </c>
      <c r="R11" s="9" t="inlineStr">
        <is>
          <t>Yes</t>
        </is>
      </c>
      <c r="S11" s="9" t="inlineStr">
        <is>
          <t>Yes</t>
        </is>
      </c>
      <c r="T11" s="9" t="inlineStr">
        <is>
          <t>Yes</t>
        </is>
      </c>
      <c r="U11" s="9" t="inlineStr">
        <is>
          <t>Partial</t>
        </is>
      </c>
      <c r="V11" s="9" t="inlineStr">
        <is>
          <t>No</t>
        </is>
      </c>
      <c r="W11" s="9" t="inlineStr">
        <is>
          <t>Yes</t>
        </is>
      </c>
      <c r="X11" s="9" t="inlineStr">
        <is>
          <t>Yes</t>
        </is>
      </c>
      <c r="Y11" s="9" t="inlineStr">
        <is>
          <t>Yes</t>
        </is>
      </c>
      <c r="Z11" s="9" t="inlineStr">
        <is>
          <t>Yes</t>
        </is>
      </c>
      <c r="AA11" s="9" t="inlineStr">
        <is>
          <t>Yes</t>
        </is>
      </c>
      <c r="AB11" s="9" t="inlineStr">
        <is>
          <t>Yes</t>
        </is>
      </c>
      <c r="AC11" s="9" t="inlineStr">
        <is>
          <t>Yes</t>
        </is>
      </c>
      <c r="AD11" s="9" t="inlineStr">
        <is>
          <t>Yes</t>
        </is>
      </c>
      <c r="AE11" s="9" t="inlineStr">
        <is>
          <t>No</t>
        </is>
      </c>
      <c r="AF11" s="9" t="inlineStr">
        <is>
          <t>Yes</t>
        </is>
      </c>
      <c r="AG11" s="9" t="inlineStr">
        <is>
          <t>No</t>
        </is>
      </c>
      <c r="AH11" s="9" t="inlineStr">
        <is>
          <t>Yes</t>
        </is>
      </c>
      <c r="AI11" s="9" t="inlineStr">
        <is>
          <t>No</t>
        </is>
      </c>
      <c r="AJ11" s="9" t="inlineStr">
        <is>
          <t>No</t>
        </is>
      </c>
      <c r="AK11" s="9" t="inlineStr">
        <is>
          <t>No</t>
        </is>
      </c>
      <c r="AL11" s="9" t="inlineStr">
        <is>
          <t>Yes</t>
        </is>
      </c>
      <c r="AM11" s="9" t="inlineStr">
        <is>
          <t>Yes</t>
        </is>
      </c>
      <c r="AN11" s="9" t="inlineStr">
        <is>
          <t>Yes</t>
        </is>
      </c>
      <c r="AO11" s="9" t="inlineStr">
        <is>
          <t>Yes</t>
        </is>
      </c>
      <c r="AP11" s="9" t="inlineStr">
        <is>
          <t>Partial</t>
        </is>
      </c>
      <c r="AQ11" s="9" t="inlineStr">
        <is>
          <t>Yes</t>
        </is>
      </c>
      <c r="AR11" s="13">
        <f>IFERROR((COUNTIF(F11:K11,"Yes")+0.5*COUNTIF(F11:K11,"Partial"))/(COUNTA(F11:K11)-COUNTIF(F11:K11,"NA"))*100,"")</f>
        <v/>
      </c>
      <c r="AS11" s="13">
        <f>IFERROR((COUNTIF(L11:Q11,"Yes")+0.5*COUNTIF(L11:Q11,"Partial"))/(COUNTA(L11:Q11)-COUNTIF(L11:Q11,"NA"))*100,"")</f>
        <v/>
      </c>
      <c r="AT11" s="13">
        <f>IFERROR((COUNTIF(R11:U11,"Yes")+0.5*COUNTIF(R11:U11,"Partial"))/(COUNTA(R11:U11)-COUNTIF(R11:U11,"NA"))*100,"")</f>
        <v/>
      </c>
      <c r="AU11" s="13">
        <f>IFERROR((COUNTIF(V11:Y11,"Yes")+0.5*COUNTIF(V11:Y11,"Partial"))/(COUNTA(V11:Y11)-COUNTIF(V11:Y11,"NA"))*100,"")</f>
        <v/>
      </c>
      <c r="AV11" s="13">
        <f>IFERROR((COUNTIF(Z11:AE11,"Yes")+0.5*COUNTIF(Z11:AE11,"Partial"))/(COUNTA(Z11:AE11)-COUNTIF(Z11:AE11,"NA"))*100,"")</f>
        <v/>
      </c>
      <c r="AW11" s="13">
        <f>IFERROR((COUNTIF(AF11:AJ11,"Yes")+0.5*COUNTIF(AF11:AJ11,"Partial"))/(COUNTA(AF11:AJ11)-COUNTIF(AF11:AJ11,"NA"))*100,"")</f>
        <v/>
      </c>
      <c r="AX11" s="13">
        <f>IFERROR((COUNTIF(AK11:AM11,"Yes")+0.5*COUNTIF(AK11:AM11,"Partial"))/(COUNTA(AK11:AM11)-COUNTIF(AK11:AM11,"NA"))*100,"")</f>
        <v/>
      </c>
      <c r="AY11" s="13">
        <f>IFERROR((COUNTIF(AN11:AQ11,"Yes")+0.5*COUNTIF(AN11:AQ11,"Partial"))/(COUNTA(AN11:AQ11)-COUNTIF(AN11:AQ11,"NA"))*100,"")</f>
        <v/>
      </c>
      <c r="AZ11" s="14">
        <f>IFERROR(AVERAGE(IF(ISNUMBER(AR11:AY11),AR11:AY11)),"")</f>
        <v/>
      </c>
      <c r="BA11" s="15">
        <f>IF(AZ11="","",IF(AZ11&gt;=80,"Compliant",IF(AZ11&gt;=50,"Partial","Non-Compliant")))</f>
        <v/>
      </c>
      <c r="BB11" s="11" t="n"/>
    </row>
    <row r="12" ht="15" customHeight="1">
      <c r="A12" s="9" t="n">
        <v>10</v>
      </c>
      <c r="B12" s="10" t="inlineStr">
        <is>
          <t>D2</t>
        </is>
      </c>
      <c r="C12" s="10" t="inlineStr">
        <is>
          <t>D Block</t>
        </is>
      </c>
      <c r="D12" s="11" t="inlineStr">
        <is>
          <t>Vaibhav Tiwari</t>
        </is>
      </c>
      <c r="E12" s="12" t="inlineStr">
        <is>
          <t>26-Sep-2026</t>
        </is>
      </c>
      <c r="F12" s="9" t="inlineStr">
        <is>
          <t>Yes</t>
        </is>
      </c>
      <c r="G12" s="9" t="inlineStr">
        <is>
          <t>Yes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Partial</t>
        </is>
      </c>
      <c r="K12" s="9" t="inlineStr">
        <is>
          <t>Yes</t>
        </is>
      </c>
      <c r="L12" s="9" t="inlineStr">
        <is>
          <t>Yes</t>
        </is>
      </c>
      <c r="M12" s="9" t="inlineStr">
        <is>
          <t>Yes</t>
        </is>
      </c>
      <c r="N12" s="9" t="inlineStr">
        <is>
          <t>No</t>
        </is>
      </c>
      <c r="O12" s="9" t="inlineStr">
        <is>
          <t>Yes</t>
        </is>
      </c>
      <c r="P12" s="9" t="inlineStr">
        <is>
          <t>Yes</t>
        </is>
      </c>
      <c r="Q12" s="9" t="inlineStr">
        <is>
          <t>No</t>
        </is>
      </c>
      <c r="R12" s="9" t="inlineStr">
        <is>
          <t>Yes</t>
        </is>
      </c>
      <c r="S12" s="9" t="inlineStr">
        <is>
          <t>Yes</t>
        </is>
      </c>
      <c r="T12" s="9" t="inlineStr">
        <is>
          <t>Yes</t>
        </is>
      </c>
      <c r="U12" s="9" t="inlineStr">
        <is>
          <t>Partial</t>
        </is>
      </c>
      <c r="V12" s="9" t="inlineStr">
        <is>
          <t>No</t>
        </is>
      </c>
      <c r="W12" s="9" t="inlineStr">
        <is>
          <t>Yes</t>
        </is>
      </c>
      <c r="X12" s="9" t="inlineStr">
        <is>
          <t>Yes</t>
        </is>
      </c>
      <c r="Y12" s="9" t="inlineStr">
        <is>
          <t>Yes</t>
        </is>
      </c>
      <c r="Z12" s="9" t="inlineStr">
        <is>
          <t>Yes</t>
        </is>
      </c>
      <c r="AA12" s="9" t="inlineStr">
        <is>
          <t>Yes</t>
        </is>
      </c>
      <c r="AB12" s="9" t="inlineStr">
        <is>
          <t>Yes</t>
        </is>
      </c>
      <c r="AC12" s="9" t="inlineStr">
        <is>
          <t>Yes</t>
        </is>
      </c>
      <c r="AD12" s="9" t="inlineStr">
        <is>
          <t>Yes</t>
        </is>
      </c>
      <c r="AE12" s="9" t="inlineStr">
        <is>
          <t>No</t>
        </is>
      </c>
      <c r="AF12" s="9" t="inlineStr">
        <is>
          <t>Yes</t>
        </is>
      </c>
      <c r="AG12" s="9" t="inlineStr">
        <is>
          <t>No</t>
        </is>
      </c>
      <c r="AH12" s="9" t="inlineStr">
        <is>
          <t>Yes</t>
        </is>
      </c>
      <c r="AI12" s="9" t="inlineStr">
        <is>
          <t>No</t>
        </is>
      </c>
      <c r="AJ12" s="9" t="inlineStr">
        <is>
          <t>No</t>
        </is>
      </c>
      <c r="AK12" s="9" t="inlineStr">
        <is>
          <t>No</t>
        </is>
      </c>
      <c r="AL12" s="9" t="inlineStr">
        <is>
          <t>Yes</t>
        </is>
      </c>
      <c r="AM12" s="9" t="inlineStr">
        <is>
          <t>Yes</t>
        </is>
      </c>
      <c r="AN12" s="9" t="inlineStr">
        <is>
          <t>Yes</t>
        </is>
      </c>
      <c r="AO12" s="9" t="inlineStr">
        <is>
          <t>Yes</t>
        </is>
      </c>
      <c r="AP12" s="9" t="inlineStr">
        <is>
          <t>Partial</t>
        </is>
      </c>
      <c r="AQ12" s="9" t="inlineStr">
        <is>
          <t>Yes</t>
        </is>
      </c>
      <c r="AR12" s="13">
        <f>IFERROR((COUNTIF(F12:K12,"Yes")+0.5*COUNTIF(F12:K12,"Partial"))/(COUNTA(F12:K12)-COUNTIF(F12:K12,"NA"))*100,"")</f>
        <v/>
      </c>
      <c r="AS12" s="13">
        <f>IFERROR((COUNTIF(L12:Q12,"Yes")+0.5*COUNTIF(L12:Q12,"Partial"))/(COUNTA(L12:Q12)-COUNTIF(L12:Q12,"NA"))*100,"")</f>
        <v/>
      </c>
      <c r="AT12" s="13">
        <f>IFERROR((COUNTIF(R12:U12,"Yes")+0.5*COUNTIF(R12:U12,"Partial"))/(COUNTA(R12:U12)-COUNTIF(R12:U12,"NA"))*100,"")</f>
        <v/>
      </c>
      <c r="AU12" s="13">
        <f>IFERROR((COUNTIF(W12:X12,"Yes")+0.5*COUNTIF(W12:X12,"Partial"))/(COUNTA(W12:X12)-COUNTIF(W12:X12,"NA"))*100,"")</f>
        <v/>
      </c>
      <c r="AV12" s="13">
        <f>IFERROR((COUNTIF(Z12:AE12,"Yes")+0.5*COUNTIF(Z12:AE12,"Partial"))/(COUNTA(Z12:AE12)-COUNTIF(Z12:AE12,"NA"))*100,"")</f>
        <v/>
      </c>
      <c r="AW12" s="13">
        <f>IFERROR((COUNTIF(AF12:AJ12,"Yes")+0.5*COUNTIF(AF12:AJ12,"Partial"))/(COUNTA(AF12:AJ12)-COUNTIF(AF12:AJ12,"NA"))*100,"")</f>
        <v/>
      </c>
      <c r="AX12" s="13">
        <f>IFERROR((COUNTIF(AK12:AM12,"Yes")+0.5*COUNTIF(AK12:AM12,"Partial"))/(COUNTA(AK12:AM12)-COUNTIF(AK12:AM12,"NA"))*100,"")</f>
        <v/>
      </c>
      <c r="AY12" s="13">
        <f>IFERROR((COUNTIF(AN12:AQ12,"Yes")+0.5*COUNTIF(AN12:AQ12,"Partial"))/(COUNTA(AN12:AQ12)-COUNTIF(AN12:AQ12,"NA"))*100,"")</f>
        <v/>
      </c>
      <c r="AZ12" s="14">
        <f>IFERROR(AVERAGE(IF(ISNUMBER(AR12:AY12),AR12:AY12)),"")</f>
        <v/>
      </c>
      <c r="BA12" s="15">
        <f>IF(AZ12="","",IF(AZ12&gt;=80,"Compliant",IF(AZ12&gt;=50,"Partial","Non-Compliant")))</f>
        <v/>
      </c>
      <c r="BB12" s="11" t="n"/>
    </row>
    <row r="13">
      <c r="A13" s="9" t="n">
        <v>11</v>
      </c>
      <c r="B13" s="10" t="inlineStr">
        <is>
          <t>D3</t>
        </is>
      </c>
      <c r="C13" s="10" t="inlineStr">
        <is>
          <t>D Block</t>
        </is>
      </c>
      <c r="D13" s="11" t="inlineStr">
        <is>
          <t>Vaibhav Tiwari</t>
        </is>
      </c>
      <c r="E13" s="12" t="inlineStr">
        <is>
          <t>26-Sep-2026</t>
        </is>
      </c>
      <c r="F13" s="9" t="inlineStr">
        <is>
          <t>Yes</t>
        </is>
      </c>
      <c r="G13" s="9" t="inlineStr">
        <is>
          <t>Yes</t>
        </is>
      </c>
      <c r="H13" s="9" t="inlineStr">
        <is>
          <t>Yes</t>
        </is>
      </c>
      <c r="I13" s="9" t="inlineStr">
        <is>
          <t>Yes</t>
        </is>
      </c>
      <c r="J13" s="9" t="inlineStr">
        <is>
          <t>Partial</t>
        </is>
      </c>
      <c r="K13" s="9" t="inlineStr">
        <is>
          <t>Yes</t>
        </is>
      </c>
      <c r="L13" s="9" t="inlineStr">
        <is>
          <t>Yes</t>
        </is>
      </c>
      <c r="M13" s="9" t="inlineStr">
        <is>
          <t>Yes</t>
        </is>
      </c>
      <c r="N13" s="9" t="inlineStr">
        <is>
          <t>No</t>
        </is>
      </c>
      <c r="O13" s="9" t="inlineStr">
        <is>
          <t>Yes</t>
        </is>
      </c>
      <c r="P13" s="9" t="inlineStr">
        <is>
          <t>Yes</t>
        </is>
      </c>
      <c r="Q13" s="9" t="inlineStr">
        <is>
          <t>No</t>
        </is>
      </c>
      <c r="R13" s="9" t="inlineStr">
        <is>
          <t>Yes</t>
        </is>
      </c>
      <c r="S13" s="9" t="inlineStr">
        <is>
          <t>Yes</t>
        </is>
      </c>
      <c r="T13" s="9" t="inlineStr">
        <is>
          <t>Yes</t>
        </is>
      </c>
      <c r="U13" s="9" t="inlineStr">
        <is>
          <t>Partial</t>
        </is>
      </c>
      <c r="V13" s="9" t="inlineStr">
        <is>
          <t>No</t>
        </is>
      </c>
      <c r="W13" s="9" t="inlineStr">
        <is>
          <t>Yes</t>
        </is>
      </c>
      <c r="X13" s="9" t="inlineStr">
        <is>
          <t>Yes</t>
        </is>
      </c>
      <c r="Y13" s="9" t="inlineStr">
        <is>
          <t>Yes</t>
        </is>
      </c>
      <c r="Z13" s="9" t="inlineStr">
        <is>
          <t>Yes</t>
        </is>
      </c>
      <c r="AA13" s="9" t="inlineStr">
        <is>
          <t>Yes</t>
        </is>
      </c>
      <c r="AB13" s="9" t="inlineStr">
        <is>
          <t>Yes</t>
        </is>
      </c>
      <c r="AC13" s="9" t="inlineStr">
        <is>
          <t>Yes</t>
        </is>
      </c>
      <c r="AD13" s="9" t="inlineStr">
        <is>
          <t>Yes</t>
        </is>
      </c>
      <c r="AE13" s="9" t="inlineStr">
        <is>
          <t>No</t>
        </is>
      </c>
      <c r="AF13" s="9" t="inlineStr">
        <is>
          <t>Yes</t>
        </is>
      </c>
      <c r="AG13" s="9" t="inlineStr">
        <is>
          <t>No</t>
        </is>
      </c>
      <c r="AH13" s="9" t="inlineStr">
        <is>
          <t>Yes</t>
        </is>
      </c>
      <c r="AI13" s="9" t="inlineStr">
        <is>
          <t>No</t>
        </is>
      </c>
      <c r="AJ13" s="9" t="inlineStr">
        <is>
          <t>No</t>
        </is>
      </c>
      <c r="AK13" s="9" t="inlineStr">
        <is>
          <t>No</t>
        </is>
      </c>
      <c r="AL13" s="9" t="inlineStr">
        <is>
          <t>Yes</t>
        </is>
      </c>
      <c r="AM13" s="9" t="inlineStr">
        <is>
          <t>Yes</t>
        </is>
      </c>
      <c r="AN13" s="9" t="inlineStr">
        <is>
          <t>Yes</t>
        </is>
      </c>
      <c r="AO13" s="9" t="inlineStr">
        <is>
          <t>Yes</t>
        </is>
      </c>
      <c r="AP13" s="9" t="inlineStr">
        <is>
          <t>Partial</t>
        </is>
      </c>
      <c r="AQ13" s="9" t="inlineStr">
        <is>
          <t>Yes</t>
        </is>
      </c>
      <c r="AR13" s="13">
        <f>IFERROR((COUNTIF(F13:K13,"Yes")+0.5*COUNTIF(F13:K13,"Partial"))/(COUNTA(F13:K13)-COUNTIF(F13:K13,"NA"))*100,"")</f>
        <v/>
      </c>
      <c r="AS13" s="13">
        <f>IFERROR((COUNTIF(L13:Q13,"Yes")+0.5*COUNTIF(L13:Q13,"Partial"))/(COUNTA(L13:Q13)-COUNTIF(L13:Q13,"NA"))*100,"")</f>
        <v/>
      </c>
      <c r="AT13" s="13">
        <f>IFERROR((COUNTIF(R13:U13,"Yes")+0.5*COUNTIF(R13:U13,"Partial"))/(COUNTA(R13:U13)-COUNTIF(R13:U13,"NA"))*100,"")</f>
        <v/>
      </c>
      <c r="AU13" s="13">
        <f>IFERROR((COUNTIF(V13:Y13,"Yes")+0.5*COUNTIF(V13:Y13,"Partial"))/(COUNTA(V13:Y13)-COUNTIF(V13:Y13,"NA"))*100,"")</f>
        <v/>
      </c>
      <c r="AV13" s="13">
        <f>IFERROR((COUNTIF(Z13:AE13,"Yes")+0.5*COUNTIF(Z13:AE13,"Partial"))/(COUNTA(Z13:AE13)-COUNTIF(Z13:AE13,"NA"))*100,"")</f>
        <v/>
      </c>
      <c r="AW13" s="13">
        <f>IFERROR((COUNTIF(AF13:AJ13,"Yes")+0.5*COUNTIF(AF13:AJ13,"Partial"))/(COUNTA(AF13:AJ13)-COUNTIF(AF13:AJ13,"NA"))*100,"")</f>
        <v/>
      </c>
      <c r="AX13" s="13">
        <f>IFERROR((COUNTIF(AK13:AM13,"Yes")+0.5*COUNTIF(AK13:AM13,"Partial"))/(COUNTA(AK13:AM13)-COUNTIF(AK13:AM13,"NA"))*100,"")</f>
        <v/>
      </c>
      <c r="AY13" s="13">
        <f>IFERROR((COUNTIF(AN13:AQ13,"Yes")+0.5*COUNTIF(AN13:AQ13,"Partial"))/(COUNTA(AN13:AQ13)-COUNTIF(AN13:AQ13,"NA"))*100,"")</f>
        <v/>
      </c>
      <c r="AZ13" s="14">
        <f>IFERROR(AVERAGE(IF(ISNUMBER(AR13:AY13),AR13:AY13)),"")</f>
        <v/>
      </c>
      <c r="BA13" s="15">
        <f>IF(AZ13="","",IF(AZ13&gt;=80,"Compliant",IF(AZ13&gt;=50,"Partial","Non-Compliant")))</f>
        <v/>
      </c>
      <c r="BB13" s="11" t="n"/>
    </row>
    <row r="14">
      <c r="A14" s="9" t="n">
        <v>12</v>
      </c>
      <c r="B14" s="10" t="inlineStr">
        <is>
          <t>D4</t>
        </is>
      </c>
      <c r="C14" s="10" t="inlineStr">
        <is>
          <t>D Block</t>
        </is>
      </c>
      <c r="D14" s="11" t="inlineStr">
        <is>
          <t>Vaibhav Tiwari</t>
        </is>
      </c>
      <c r="E14" s="12" t="inlineStr">
        <is>
          <t>26-Sep-2026</t>
        </is>
      </c>
      <c r="F14" s="9" t="inlineStr">
        <is>
          <t>Yes</t>
        </is>
      </c>
      <c r="G14" s="9" t="inlineStr">
        <is>
          <t>Yes</t>
        </is>
      </c>
      <c r="H14" s="9" t="inlineStr">
        <is>
          <t>Yes</t>
        </is>
      </c>
      <c r="I14" s="9" t="inlineStr">
        <is>
          <t>Yes</t>
        </is>
      </c>
      <c r="J14" s="9" t="inlineStr">
        <is>
          <t>Partial</t>
        </is>
      </c>
      <c r="K14" s="9" t="inlineStr">
        <is>
          <t>Yes</t>
        </is>
      </c>
      <c r="L14" s="9" t="inlineStr">
        <is>
          <t>Yes</t>
        </is>
      </c>
      <c r="M14" s="9" t="inlineStr">
        <is>
          <t>Yes</t>
        </is>
      </c>
      <c r="N14" s="9" t="inlineStr">
        <is>
          <t>No</t>
        </is>
      </c>
      <c r="O14" s="9" t="inlineStr">
        <is>
          <t>Yes</t>
        </is>
      </c>
      <c r="P14" s="9" t="inlineStr">
        <is>
          <t>Yes</t>
        </is>
      </c>
      <c r="Q14" s="9" t="inlineStr">
        <is>
          <t>No</t>
        </is>
      </c>
      <c r="R14" s="9" t="inlineStr">
        <is>
          <t>Yes</t>
        </is>
      </c>
      <c r="S14" s="9" t="inlineStr">
        <is>
          <t>Yes</t>
        </is>
      </c>
      <c r="T14" s="9" t="inlineStr">
        <is>
          <t>Yes</t>
        </is>
      </c>
      <c r="U14" s="9" t="inlineStr">
        <is>
          <t>Partial</t>
        </is>
      </c>
      <c r="V14" s="9" t="inlineStr">
        <is>
          <t>No</t>
        </is>
      </c>
      <c r="W14" s="9" t="inlineStr">
        <is>
          <t>Yes</t>
        </is>
      </c>
      <c r="X14" s="9" t="inlineStr">
        <is>
          <t>Yes</t>
        </is>
      </c>
      <c r="Y14" s="9" t="inlineStr">
        <is>
          <t>Yes</t>
        </is>
      </c>
      <c r="Z14" s="9" t="inlineStr">
        <is>
          <t>Yes</t>
        </is>
      </c>
      <c r="AA14" s="9" t="inlineStr">
        <is>
          <t>Yes</t>
        </is>
      </c>
      <c r="AB14" s="9" t="inlineStr">
        <is>
          <t>Yes</t>
        </is>
      </c>
      <c r="AC14" s="9" t="inlineStr">
        <is>
          <t>Yes</t>
        </is>
      </c>
      <c r="AD14" s="9" t="inlineStr">
        <is>
          <t>Yes</t>
        </is>
      </c>
      <c r="AE14" s="9" t="inlineStr">
        <is>
          <t>No</t>
        </is>
      </c>
      <c r="AF14" s="9" t="inlineStr">
        <is>
          <t>Yes</t>
        </is>
      </c>
      <c r="AG14" s="9" t="inlineStr">
        <is>
          <t>No</t>
        </is>
      </c>
      <c r="AH14" s="9" t="inlineStr">
        <is>
          <t>Yes</t>
        </is>
      </c>
      <c r="AI14" s="9" t="inlineStr">
        <is>
          <t>No</t>
        </is>
      </c>
      <c r="AJ14" s="9" t="inlineStr">
        <is>
          <t>No</t>
        </is>
      </c>
      <c r="AK14" s="9" t="inlineStr">
        <is>
          <t>No</t>
        </is>
      </c>
      <c r="AL14" s="9" t="inlineStr">
        <is>
          <t>Yes</t>
        </is>
      </c>
      <c r="AM14" s="9" t="inlineStr">
        <is>
          <t>Yes</t>
        </is>
      </c>
      <c r="AN14" s="9" t="inlineStr">
        <is>
          <t>Yes</t>
        </is>
      </c>
      <c r="AO14" s="9" t="inlineStr">
        <is>
          <t>Yes</t>
        </is>
      </c>
      <c r="AP14" s="9" t="inlineStr">
        <is>
          <t>Partial</t>
        </is>
      </c>
      <c r="AQ14" s="9" t="inlineStr">
        <is>
          <t>Yes</t>
        </is>
      </c>
      <c r="AR14" s="13">
        <f>IFERROR((COUNTIF(F14:K14,"Yes")+0.5*COUNTIF(F14:K14,"Partial"))/(COUNTA(F14:K14)-COUNTIF(F14:K14,"NA"))*100,"")</f>
        <v/>
      </c>
      <c r="AS14" s="13">
        <f>IFERROR((COUNTIF(L14:Q14,"Yes")+0.5*COUNTIF(L14:Q14,"Partial"))/(COUNTA(L14:Q14)-COUNTIF(L14:Q14,"NA"))*100,"")</f>
        <v/>
      </c>
      <c r="AT14" s="13">
        <f>IFERROR((COUNTIF(R14:U14,"Yes")+0.5*COUNTIF(R14:U14,"Partial"))/(COUNTA(R14:U14)-COUNTIF(R14:U14,"NA"))*100,"")</f>
        <v/>
      </c>
      <c r="AU14" s="13">
        <f>IFERROR((COUNTIF(V14:Y14,"Yes")+0.5*COUNTIF(V14:Y14,"Partial"))/(COUNTA(V14:Y14)-COUNTIF(V14:Y14,"NA"))*100,"")</f>
        <v/>
      </c>
      <c r="AV14" s="13">
        <f>IFERROR((COUNTIF(Z14:AE14,"Yes")+0.5*COUNTIF(Z14:AE14,"Partial"))/(COUNTA(Z14:AE14)-COUNTIF(Z14:AE14,"NA"))*100,"")</f>
        <v/>
      </c>
      <c r="AW14" s="13">
        <f>IFERROR((COUNTIF(AF14:AJ14,"Yes")+0.5*COUNTIF(AF14:AJ14,"Partial"))/(COUNTA(AF14:AJ14)-COUNTIF(AF14:AJ14,"NA"))*100,"")</f>
        <v/>
      </c>
      <c r="AX14" s="13">
        <f>IFERROR((COUNTIF(AK14:AM14,"Yes")+0.5*COUNTIF(AK14:AM14,"Partial"))/(COUNTA(AK14:AM14)-COUNTIF(AK14:AM14,"NA"))*100,"")</f>
        <v/>
      </c>
      <c r="AY14" s="13">
        <f>IFERROR((COUNTIF(AN14:AQ14,"Yes")+0.5*COUNTIF(AN14:AQ14,"Partial"))/(COUNTA(AN14:AQ14)-COUNTIF(AN14:AQ14,"NA"))*100,"")</f>
        <v/>
      </c>
      <c r="AZ14" s="14">
        <f>IFERROR(AVERAGE(IF(ISNUMBER(AR14:AY14),AR14:AY14)),"")</f>
        <v/>
      </c>
      <c r="BA14" s="15">
        <f>IF(AZ14="","",IF(AZ14&gt;=80,"Compliant",IF(AZ14&gt;=50,"Partial","Non-Compliant")))</f>
        <v/>
      </c>
      <c r="BB14" s="11" t="n"/>
    </row>
    <row r="15">
      <c r="A15" s="9" t="n">
        <v>13</v>
      </c>
      <c r="B15" s="10" t="inlineStr">
        <is>
          <t>D5</t>
        </is>
      </c>
      <c r="C15" s="10" t="inlineStr">
        <is>
          <t>D Block</t>
        </is>
      </c>
      <c r="D15" s="11" t="inlineStr">
        <is>
          <t>Vaibhav Tiwari</t>
        </is>
      </c>
      <c r="E15" s="12" t="inlineStr">
        <is>
          <t>26-Sep-2026</t>
        </is>
      </c>
      <c r="F15" s="9" t="inlineStr">
        <is>
          <t>Yes</t>
        </is>
      </c>
      <c r="G15" s="9" t="inlineStr">
        <is>
          <t>Yes</t>
        </is>
      </c>
      <c r="H15" s="9" t="inlineStr">
        <is>
          <t>Yes</t>
        </is>
      </c>
      <c r="I15" s="9" t="inlineStr">
        <is>
          <t>Yes</t>
        </is>
      </c>
      <c r="J15" s="9" t="inlineStr">
        <is>
          <t>Partial</t>
        </is>
      </c>
      <c r="K15" s="9" t="inlineStr">
        <is>
          <t>Yes</t>
        </is>
      </c>
      <c r="L15" s="9" t="inlineStr">
        <is>
          <t>Yes</t>
        </is>
      </c>
      <c r="M15" s="9" t="inlineStr">
        <is>
          <t>Yes</t>
        </is>
      </c>
      <c r="N15" s="9" t="inlineStr">
        <is>
          <t>No</t>
        </is>
      </c>
      <c r="O15" s="9" t="inlineStr">
        <is>
          <t>Yes</t>
        </is>
      </c>
      <c r="P15" s="9" t="inlineStr">
        <is>
          <t>Yes</t>
        </is>
      </c>
      <c r="Q15" s="9" t="inlineStr">
        <is>
          <t>No</t>
        </is>
      </c>
      <c r="R15" s="9" t="inlineStr">
        <is>
          <t>Yes</t>
        </is>
      </c>
      <c r="S15" s="9" t="inlineStr">
        <is>
          <t>Yes</t>
        </is>
      </c>
      <c r="T15" s="9" t="inlineStr">
        <is>
          <t>Yes</t>
        </is>
      </c>
      <c r="U15" s="9" t="inlineStr">
        <is>
          <t>Partial</t>
        </is>
      </c>
      <c r="V15" s="9" t="inlineStr">
        <is>
          <t>No</t>
        </is>
      </c>
      <c r="W15" s="9" t="inlineStr">
        <is>
          <t>Yes</t>
        </is>
      </c>
      <c r="X15" s="9" t="inlineStr">
        <is>
          <t>Yes</t>
        </is>
      </c>
      <c r="Y15" s="9" t="inlineStr">
        <is>
          <t>Yes</t>
        </is>
      </c>
      <c r="Z15" s="9" t="inlineStr">
        <is>
          <t>Yes</t>
        </is>
      </c>
      <c r="AA15" s="9" t="inlineStr">
        <is>
          <t>Yes</t>
        </is>
      </c>
      <c r="AB15" s="9" t="inlineStr">
        <is>
          <t>Yes</t>
        </is>
      </c>
      <c r="AC15" s="9" t="inlineStr">
        <is>
          <t>Yes</t>
        </is>
      </c>
      <c r="AD15" s="9" t="inlineStr">
        <is>
          <t>Yes</t>
        </is>
      </c>
      <c r="AE15" s="9" t="inlineStr">
        <is>
          <t>No</t>
        </is>
      </c>
      <c r="AF15" s="9" t="inlineStr">
        <is>
          <t>Yes</t>
        </is>
      </c>
      <c r="AG15" s="9" t="inlineStr">
        <is>
          <t>No</t>
        </is>
      </c>
      <c r="AH15" s="9" t="inlineStr">
        <is>
          <t>Yes</t>
        </is>
      </c>
      <c r="AI15" s="9" t="inlineStr">
        <is>
          <t>No</t>
        </is>
      </c>
      <c r="AJ15" s="9" t="inlineStr">
        <is>
          <t>No</t>
        </is>
      </c>
      <c r="AK15" s="9" t="inlineStr">
        <is>
          <t>No</t>
        </is>
      </c>
      <c r="AL15" s="9" t="inlineStr">
        <is>
          <t>Yes</t>
        </is>
      </c>
      <c r="AM15" s="9" t="inlineStr">
        <is>
          <t>Yes</t>
        </is>
      </c>
      <c r="AN15" s="9" t="inlineStr">
        <is>
          <t>Yes</t>
        </is>
      </c>
      <c r="AO15" s="9" t="inlineStr">
        <is>
          <t>Yes</t>
        </is>
      </c>
      <c r="AP15" s="9" t="inlineStr">
        <is>
          <t>Partial</t>
        </is>
      </c>
      <c r="AQ15" s="9" t="inlineStr">
        <is>
          <t>Yes</t>
        </is>
      </c>
      <c r="AR15" s="13">
        <f>IFERROR((COUNTIF(F15:K15,"Yes")+0.5*COUNTIF(F15:K15,"Partial"))/(COUNTA(F15:K15)-COUNTIF(F15:K15,"NA"))*100,"")</f>
        <v/>
      </c>
      <c r="AS15" s="13">
        <f>IFERROR((COUNTIF(L15:Q15,"Yes")+0.5*COUNTIF(L15:Q15,"Partial"))/(COUNTA(L15:Q15)-COUNTIF(L15:Q15,"NA"))*100,"")</f>
        <v/>
      </c>
      <c r="AT15" s="13">
        <f>IFERROR((COUNTIF(R15:U15,"Yes")+0.5*COUNTIF(R15:U15,"Partial"))/(COUNTA(R15:U15)-COUNTIF(R15:U15,"NA"))*100,"")</f>
        <v/>
      </c>
      <c r="AU15" s="13">
        <f>IFERROR((COUNTIF(V15:Y15,"Yes")+0.5*COUNTIF(V15:Y15,"Partial"))/(COUNTA(V15:Y15)-COUNTIF(V15:Y15,"NA"))*100,"")</f>
        <v/>
      </c>
      <c r="AV15" s="13">
        <f>IFERROR((COUNTIF(Z15:AE15,"Yes")+0.5*COUNTIF(Z15:AE15,"Partial"))/(COUNTA(Z15:AE15)-COUNTIF(Z15:AE15,"NA"))*100,"")</f>
        <v/>
      </c>
      <c r="AW15" s="13">
        <f>IFERROR((COUNTIF(AF15:AJ15,"Yes")+0.5*COUNTIF(AF15:AJ15,"Partial"))/(COUNTA(AF15:AJ15)-COUNTIF(AF15:AJ15,"NA"))*100,"")</f>
        <v/>
      </c>
      <c r="AX15" s="13">
        <f>IFERROR((COUNTIF(AK15:AM15,"Yes")+0.5*COUNTIF(AK15:AM15,"Partial"))/(COUNTA(AK15:AM15)-COUNTIF(AK15:AM15,"NA"))*100,"")</f>
        <v/>
      </c>
      <c r="AY15" s="13">
        <f>IFERROR((COUNTIF(AN15:AQ15,"Yes")+0.5*COUNTIF(AN15:AQ15,"Partial"))/(COUNTA(AN15:AQ15)-COUNTIF(AN15:AQ15,"NA"))*100,"")</f>
        <v/>
      </c>
      <c r="AZ15" s="14">
        <f>IFERROR(AVERAGE(IF(ISNUMBER(AR15:AY15),AR15:AY15)),"")</f>
        <v/>
      </c>
      <c r="BA15" s="15">
        <f>IF(AZ15="","",IF(AZ15&gt;=80,"Compliant",IF(AZ15&gt;=50,"Partial","Non-Compliant")))</f>
        <v/>
      </c>
      <c r="BB15" s="11" t="n"/>
    </row>
    <row r="16">
      <c r="A16" s="9" t="n">
        <v>14</v>
      </c>
      <c r="B16" s="10" t="inlineStr">
        <is>
          <t>D6</t>
        </is>
      </c>
      <c r="C16" s="10" t="inlineStr">
        <is>
          <t>D Block</t>
        </is>
      </c>
      <c r="D16" s="11" t="inlineStr">
        <is>
          <t>Vaibhav Tiwari</t>
        </is>
      </c>
      <c r="E16" s="12" t="inlineStr">
        <is>
          <t>26-Sep-2026</t>
        </is>
      </c>
      <c r="F16" s="9" t="inlineStr">
        <is>
          <t>Yes</t>
        </is>
      </c>
      <c r="G16" s="9" t="inlineStr">
        <is>
          <t>Yes</t>
        </is>
      </c>
      <c r="H16" s="9" t="inlineStr">
        <is>
          <t>Yes</t>
        </is>
      </c>
      <c r="I16" s="9" t="inlineStr">
        <is>
          <t>Yes</t>
        </is>
      </c>
      <c r="J16" s="9" t="inlineStr">
        <is>
          <t>Partial</t>
        </is>
      </c>
      <c r="K16" s="9" t="inlineStr">
        <is>
          <t>Yes</t>
        </is>
      </c>
      <c r="L16" s="9" t="inlineStr">
        <is>
          <t>Yes</t>
        </is>
      </c>
      <c r="M16" s="9" t="inlineStr">
        <is>
          <t>Yes</t>
        </is>
      </c>
      <c r="N16" s="9" t="inlineStr">
        <is>
          <t>No</t>
        </is>
      </c>
      <c r="O16" s="9" t="inlineStr">
        <is>
          <t>Yes</t>
        </is>
      </c>
      <c r="P16" s="9" t="inlineStr">
        <is>
          <t>Yes</t>
        </is>
      </c>
      <c r="Q16" s="9" t="inlineStr">
        <is>
          <t>No</t>
        </is>
      </c>
      <c r="R16" s="9" t="inlineStr">
        <is>
          <t>Yes</t>
        </is>
      </c>
      <c r="S16" s="9" t="inlineStr">
        <is>
          <t>Yes</t>
        </is>
      </c>
      <c r="T16" s="9" t="inlineStr">
        <is>
          <t>Yes</t>
        </is>
      </c>
      <c r="U16" s="9" t="inlineStr">
        <is>
          <t>Partial</t>
        </is>
      </c>
      <c r="V16" s="9" t="inlineStr">
        <is>
          <t>No</t>
        </is>
      </c>
      <c r="W16" s="9" t="inlineStr">
        <is>
          <t>Yes</t>
        </is>
      </c>
      <c r="X16" s="9" t="inlineStr">
        <is>
          <t>Yes</t>
        </is>
      </c>
      <c r="Y16" s="9" t="inlineStr">
        <is>
          <t>Yes</t>
        </is>
      </c>
      <c r="Z16" s="9" t="inlineStr">
        <is>
          <t>Yes</t>
        </is>
      </c>
      <c r="AA16" s="9" t="inlineStr">
        <is>
          <t>Yes</t>
        </is>
      </c>
      <c r="AB16" s="9" t="inlineStr">
        <is>
          <t>Yes</t>
        </is>
      </c>
      <c r="AC16" s="9" t="inlineStr">
        <is>
          <t>Yes</t>
        </is>
      </c>
      <c r="AD16" s="9" t="inlineStr">
        <is>
          <t>Yes</t>
        </is>
      </c>
      <c r="AE16" s="9" t="inlineStr">
        <is>
          <t>No</t>
        </is>
      </c>
      <c r="AF16" s="9" t="inlineStr">
        <is>
          <t>Yes</t>
        </is>
      </c>
      <c r="AG16" s="9" t="inlineStr">
        <is>
          <t>No</t>
        </is>
      </c>
      <c r="AH16" s="9" t="inlineStr">
        <is>
          <t>Yes</t>
        </is>
      </c>
      <c r="AI16" s="9" t="inlineStr">
        <is>
          <t>No</t>
        </is>
      </c>
      <c r="AJ16" s="9" t="inlineStr">
        <is>
          <t>No</t>
        </is>
      </c>
      <c r="AK16" s="9" t="inlineStr">
        <is>
          <t>No</t>
        </is>
      </c>
      <c r="AL16" s="9" t="inlineStr">
        <is>
          <t>Yes</t>
        </is>
      </c>
      <c r="AM16" s="9" t="inlineStr">
        <is>
          <t>Yes</t>
        </is>
      </c>
      <c r="AN16" s="9" t="inlineStr">
        <is>
          <t>Yes</t>
        </is>
      </c>
      <c r="AO16" s="9" t="inlineStr">
        <is>
          <t>Yes</t>
        </is>
      </c>
      <c r="AP16" s="9" t="inlineStr">
        <is>
          <t>Partial</t>
        </is>
      </c>
      <c r="AQ16" s="9" t="inlineStr">
        <is>
          <t>Yes</t>
        </is>
      </c>
      <c r="AR16" s="13">
        <f>IFERROR((COUNTIF(F16:K16,"Yes")+0.5*COUNTIF(F16:K16,"Partial"))/(COUNTA(F16:K16)-COUNTIF(F16:K16,"NA"))*100,"")</f>
        <v/>
      </c>
      <c r="AS16" s="13">
        <f>IFERROR((COUNTIF(L16:Q16,"Yes")+0.5*COUNTIF(L16:Q16,"Partial"))/(COUNTA(L16:Q16)-COUNTIF(L16:Q16,"NA"))*100,"")</f>
        <v/>
      </c>
      <c r="AT16" s="13">
        <f>IFERROR((COUNTIF(R16:U16,"Yes")+0.5*COUNTIF(R16:U16,"Partial"))/(COUNTA(R16:U16)-COUNTIF(R16:U16,"NA"))*100,"")</f>
        <v/>
      </c>
      <c r="AU16" s="13">
        <f>IFERROR((COUNTIF(V16:Y16,"Yes")+0.5*COUNTIF(V16:Y16,"Partial"))/(COUNTA(V16:Y16)-COUNTIF(V16:Y16,"NA"))*100,"")</f>
        <v/>
      </c>
      <c r="AV16" s="13">
        <f>IFERROR((COUNTIF(Z16:AE16,"Yes")+0.5*COUNTIF(Z16:AE16,"Partial"))/(COUNTA(Z16:AE16)-COUNTIF(Z16:AE16,"NA"))*100,"")</f>
        <v/>
      </c>
      <c r="AW16" s="13">
        <f>IFERROR((COUNTIF(AF16:AJ16,"Yes")+0.5*COUNTIF(AF16:AJ16,"Partial"))/(COUNTA(AF16:AJ16)-COUNTIF(AF16:AJ16,"NA"))*100,"")</f>
        <v/>
      </c>
      <c r="AX16" s="13">
        <f>IFERROR((COUNTIF(AK16:AM16,"Yes")+0.5*COUNTIF(AK16:AM16,"Partial"))/(COUNTA(AK16:AM16)-COUNTIF(AK16:AM16,"NA"))*100,"")</f>
        <v/>
      </c>
      <c r="AY16" s="13">
        <f>IFERROR((COUNTIF(AN16:AQ16,"Yes")+0.5*COUNTIF(AN16:AQ16,"Partial"))/(COUNTA(AN16:AQ16)-COUNTIF(AN16:AQ16,"NA"))*100,"")</f>
        <v/>
      </c>
      <c r="AZ16" s="14">
        <f>IFERROR(AVERAGE(IF(ISNUMBER(AR16:AY16),AR16:AY16)),"")</f>
        <v/>
      </c>
      <c r="BA16" s="15">
        <f>IF(AZ16="","",IF(AZ16&gt;=80,"Compliant",IF(AZ16&gt;=50,"Partial","Non-Compliant")))</f>
        <v/>
      </c>
      <c r="BB16" s="11" t="n"/>
    </row>
    <row r="17">
      <c r="A17" s="9" t="n">
        <v>15</v>
      </c>
      <c r="B17" s="10" t="inlineStr">
        <is>
          <t>D7</t>
        </is>
      </c>
      <c r="C17" s="10" t="inlineStr">
        <is>
          <t>D Block</t>
        </is>
      </c>
      <c r="D17" s="11" t="inlineStr">
        <is>
          <t>Vaibhav Tiwari</t>
        </is>
      </c>
      <c r="E17" s="12" t="inlineStr">
        <is>
          <t>26-Sep-2026</t>
        </is>
      </c>
      <c r="F17" s="9" t="inlineStr">
        <is>
          <t>Yes</t>
        </is>
      </c>
      <c r="G17" s="9" t="inlineStr">
        <is>
          <t>Yes</t>
        </is>
      </c>
      <c r="H17" s="9" t="inlineStr">
        <is>
          <t>Yes</t>
        </is>
      </c>
      <c r="I17" s="9" t="inlineStr">
        <is>
          <t>Yes</t>
        </is>
      </c>
      <c r="J17" s="9" t="inlineStr">
        <is>
          <t>Partial</t>
        </is>
      </c>
      <c r="K17" s="9" t="inlineStr">
        <is>
          <t>Yes</t>
        </is>
      </c>
      <c r="L17" s="9" t="inlineStr">
        <is>
          <t>Yes</t>
        </is>
      </c>
      <c r="M17" s="9" t="inlineStr">
        <is>
          <t>Yes</t>
        </is>
      </c>
      <c r="N17" s="9" t="inlineStr">
        <is>
          <t>No</t>
        </is>
      </c>
      <c r="O17" s="9" t="inlineStr">
        <is>
          <t>Yes</t>
        </is>
      </c>
      <c r="P17" s="9" t="inlineStr">
        <is>
          <t>Yes</t>
        </is>
      </c>
      <c r="Q17" s="9" t="inlineStr">
        <is>
          <t>No</t>
        </is>
      </c>
      <c r="R17" s="9" t="inlineStr">
        <is>
          <t>Yes</t>
        </is>
      </c>
      <c r="S17" s="9" t="inlineStr">
        <is>
          <t>Yes</t>
        </is>
      </c>
      <c r="T17" s="9" t="inlineStr">
        <is>
          <t>Yes</t>
        </is>
      </c>
      <c r="U17" s="9" t="inlineStr">
        <is>
          <t>Partial</t>
        </is>
      </c>
      <c r="V17" s="9" t="inlineStr">
        <is>
          <t>No</t>
        </is>
      </c>
      <c r="W17" s="9" t="inlineStr">
        <is>
          <t>Yes</t>
        </is>
      </c>
      <c r="X17" s="9" t="inlineStr">
        <is>
          <t>Yes</t>
        </is>
      </c>
      <c r="Y17" s="9" t="inlineStr">
        <is>
          <t>Yes</t>
        </is>
      </c>
      <c r="Z17" s="9" t="inlineStr">
        <is>
          <t>Yes</t>
        </is>
      </c>
      <c r="AA17" s="9" t="inlineStr">
        <is>
          <t>Yes</t>
        </is>
      </c>
      <c r="AB17" s="9" t="inlineStr">
        <is>
          <t>Yes</t>
        </is>
      </c>
      <c r="AC17" s="9" t="inlineStr">
        <is>
          <t>Yes</t>
        </is>
      </c>
      <c r="AD17" s="9" t="inlineStr">
        <is>
          <t>Yes</t>
        </is>
      </c>
      <c r="AE17" s="9" t="inlineStr">
        <is>
          <t>No</t>
        </is>
      </c>
      <c r="AF17" s="9" t="inlineStr">
        <is>
          <t>Yes</t>
        </is>
      </c>
      <c r="AG17" s="9" t="inlineStr">
        <is>
          <t>No</t>
        </is>
      </c>
      <c r="AH17" s="9" t="inlineStr">
        <is>
          <t>Yes</t>
        </is>
      </c>
      <c r="AI17" s="9" t="inlineStr">
        <is>
          <t>No</t>
        </is>
      </c>
      <c r="AJ17" s="9" t="inlineStr">
        <is>
          <t>No</t>
        </is>
      </c>
      <c r="AK17" s="9" t="inlineStr">
        <is>
          <t>No</t>
        </is>
      </c>
      <c r="AL17" s="9" t="inlineStr">
        <is>
          <t>Yes</t>
        </is>
      </c>
      <c r="AM17" s="9" t="inlineStr">
        <is>
          <t>Yes</t>
        </is>
      </c>
      <c r="AN17" s="9" t="inlineStr">
        <is>
          <t>Yes</t>
        </is>
      </c>
      <c r="AO17" s="9" t="inlineStr">
        <is>
          <t>Yes</t>
        </is>
      </c>
      <c r="AP17" s="9" t="inlineStr">
        <is>
          <t>Partial</t>
        </is>
      </c>
      <c r="AQ17" s="9" t="inlineStr">
        <is>
          <t>Yes</t>
        </is>
      </c>
      <c r="AR17" s="13">
        <f>IFERROR((COUNTIF(F17:K17,"Yes")+0.5*COUNTIF(F17:K17,"Partial"))/(COUNTA(F17:K17)-COUNTIF(F17:K17,"NA"))*100,"")</f>
        <v/>
      </c>
      <c r="AS17" s="13">
        <f>IFERROR((COUNTIF(L17:Q17,"Yes")+0.5*COUNTIF(L17:Q17,"Partial"))/(COUNTA(L17:Q17)-COUNTIF(L17:Q17,"NA"))*100,"")</f>
        <v/>
      </c>
      <c r="AT17" s="13">
        <f>IFERROR((COUNTIF(R17:U17,"Yes")+0.5*COUNTIF(R17:U17,"Partial"))/(COUNTA(R17:U17)-COUNTIF(R17:U17,"NA"))*100,"")</f>
        <v/>
      </c>
      <c r="AU17" s="13">
        <f>IFERROR((COUNTIF(V17:Y17,"Yes")+0.5*COUNTIF(V17:Y17,"Partial"))/(COUNTA(V17:Y17)-COUNTIF(V17:Y17,"NA"))*100,"")</f>
        <v/>
      </c>
      <c r="AV17" s="13">
        <f>IFERROR((COUNTIF(Z17:AE17,"Yes")+0.5*COUNTIF(Z17:AE17,"Partial"))/(COUNTA(Z17:AE17)-COUNTIF(Z17:AE17,"NA"))*100,"")</f>
        <v/>
      </c>
      <c r="AW17" s="13">
        <f>IFERROR((COUNTIF(AF17:AJ17,"Yes")+0.5*COUNTIF(AF17:AJ17,"Partial"))/(COUNTA(AF17:AJ17)-COUNTIF(AF17:AJ17,"NA"))*100,"")</f>
        <v/>
      </c>
      <c r="AX17" s="13">
        <f>IFERROR((COUNTIF(AK17:AM17,"Yes")+0.5*COUNTIF(AK17:AM17,"Partial"))/(COUNTA(AK17:AM17)-COUNTIF(AK17:AM17,"NA"))*100,"")</f>
        <v/>
      </c>
      <c r="AY17" s="13">
        <f>IFERROR((COUNTIF(AN17:AQ17,"Yes")+0.5*COUNTIF(AN17:AQ17,"Partial"))/(COUNTA(AN17:AQ17)-COUNTIF(AN17:AQ17,"NA"))*100,"")</f>
        <v/>
      </c>
      <c r="AZ17" s="14">
        <f>IFERROR(AVERAGE(IF(ISNUMBER(AR17:AY17),AR17:AY17)),"")</f>
        <v/>
      </c>
      <c r="BA17" s="15">
        <f>IF(AZ17="","",IF(AZ17&gt;=80,"Compliant",IF(AZ17&gt;=50,"Partial","Non-Compliant")))</f>
        <v/>
      </c>
      <c r="BB17" s="11" t="n"/>
    </row>
    <row r="18">
      <c r="A18" s="9" t="n">
        <v>16</v>
      </c>
      <c r="B18" s="10" t="inlineStr">
        <is>
          <t>D8</t>
        </is>
      </c>
      <c r="C18" s="10" t="inlineStr">
        <is>
          <t>D Block</t>
        </is>
      </c>
      <c r="D18" s="11" t="inlineStr">
        <is>
          <t>Vaibhav Tiwari</t>
        </is>
      </c>
      <c r="E18" s="12" t="inlineStr">
        <is>
          <t>26-Sep-2026</t>
        </is>
      </c>
      <c r="F18" s="9" t="inlineStr">
        <is>
          <t>Yes</t>
        </is>
      </c>
      <c r="G18" s="9" t="inlineStr">
        <is>
          <t>Yes</t>
        </is>
      </c>
      <c r="H18" s="9" t="inlineStr">
        <is>
          <t>Yes</t>
        </is>
      </c>
      <c r="I18" s="9" t="inlineStr">
        <is>
          <t>Yes</t>
        </is>
      </c>
      <c r="J18" s="9" t="inlineStr">
        <is>
          <t>Partial</t>
        </is>
      </c>
      <c r="K18" s="9" t="inlineStr">
        <is>
          <t>Yes</t>
        </is>
      </c>
      <c r="L18" s="9" t="inlineStr">
        <is>
          <t>Yes</t>
        </is>
      </c>
      <c r="M18" s="9" t="inlineStr">
        <is>
          <t>Yes</t>
        </is>
      </c>
      <c r="N18" s="9" t="inlineStr">
        <is>
          <t>No</t>
        </is>
      </c>
      <c r="O18" s="9" t="inlineStr">
        <is>
          <t>Yes</t>
        </is>
      </c>
      <c r="P18" s="9" t="inlineStr">
        <is>
          <t>Yes</t>
        </is>
      </c>
      <c r="Q18" s="9" t="inlineStr">
        <is>
          <t>No</t>
        </is>
      </c>
      <c r="R18" s="9" t="inlineStr">
        <is>
          <t>Yes</t>
        </is>
      </c>
      <c r="S18" s="9" t="inlineStr">
        <is>
          <t>Yes</t>
        </is>
      </c>
      <c r="T18" s="9" t="inlineStr">
        <is>
          <t>Yes</t>
        </is>
      </c>
      <c r="U18" s="9" t="inlineStr">
        <is>
          <t>Partial</t>
        </is>
      </c>
      <c r="V18" s="9" t="inlineStr">
        <is>
          <t>No</t>
        </is>
      </c>
      <c r="W18" s="9" t="inlineStr">
        <is>
          <t>Yes</t>
        </is>
      </c>
      <c r="X18" s="9" t="inlineStr">
        <is>
          <t>Yes</t>
        </is>
      </c>
      <c r="Y18" s="9" t="inlineStr">
        <is>
          <t>Yes</t>
        </is>
      </c>
      <c r="Z18" s="9" t="inlineStr">
        <is>
          <t>Yes</t>
        </is>
      </c>
      <c r="AA18" s="9" t="inlineStr">
        <is>
          <t>Yes</t>
        </is>
      </c>
      <c r="AB18" s="9" t="inlineStr">
        <is>
          <t>Yes</t>
        </is>
      </c>
      <c r="AC18" s="9" t="inlineStr">
        <is>
          <t>Yes</t>
        </is>
      </c>
      <c r="AD18" s="9" t="inlineStr">
        <is>
          <t>Yes</t>
        </is>
      </c>
      <c r="AE18" s="9" t="inlineStr">
        <is>
          <t>No</t>
        </is>
      </c>
      <c r="AF18" s="9" t="inlineStr">
        <is>
          <t>Yes</t>
        </is>
      </c>
      <c r="AG18" s="9" t="inlineStr">
        <is>
          <t>No</t>
        </is>
      </c>
      <c r="AH18" s="9" t="inlineStr">
        <is>
          <t>Yes</t>
        </is>
      </c>
      <c r="AI18" s="9" t="inlineStr">
        <is>
          <t>No</t>
        </is>
      </c>
      <c r="AJ18" s="9" t="inlineStr">
        <is>
          <t>No</t>
        </is>
      </c>
      <c r="AK18" s="9" t="inlineStr">
        <is>
          <t>No</t>
        </is>
      </c>
      <c r="AL18" s="9" t="inlineStr">
        <is>
          <t>Yes</t>
        </is>
      </c>
      <c r="AM18" s="9" t="inlineStr">
        <is>
          <t>Yes</t>
        </is>
      </c>
      <c r="AN18" s="9" t="inlineStr">
        <is>
          <t>Yes</t>
        </is>
      </c>
      <c r="AO18" s="9" t="inlineStr">
        <is>
          <t>Yes</t>
        </is>
      </c>
      <c r="AP18" s="9" t="inlineStr">
        <is>
          <t>Partial</t>
        </is>
      </c>
      <c r="AQ18" s="9" t="inlineStr">
        <is>
          <t>Yes</t>
        </is>
      </c>
      <c r="AR18" s="13">
        <f>IFERROR((COUNTIF(F18:K18,"Yes")+0.5*COUNTIF(F18:K18,"Partial"))/(COUNTA(F18:K18)-COUNTIF(F18:K18,"NA"))*100,"")</f>
        <v/>
      </c>
      <c r="AS18" s="13">
        <f>IFERROR((COUNTIF(L18:Q18,"Yes")+0.5*COUNTIF(L18:Q18,"Partial"))/(COUNTA(L18:Q18)-COUNTIF(L18:Q18,"NA"))*100,"")</f>
        <v/>
      </c>
      <c r="AT18" s="13">
        <f>IFERROR((COUNTIF(R18:U18,"Yes")+0.5*COUNTIF(R18:U18,"Partial"))/(COUNTA(R18:U18)-COUNTIF(R18:U18,"NA"))*100,"")</f>
        <v/>
      </c>
      <c r="AU18" s="13">
        <f>IFERROR((COUNTIF(V18:Y18,"Yes")+0.5*COUNTIF(V18:Y18,"Partial"))/(COUNTA(V18:Y18)-COUNTIF(V18:Y18,"NA"))*100,"")</f>
        <v/>
      </c>
      <c r="AV18" s="13">
        <f>IFERROR((COUNTIF(Z18:AE18,"Yes")+0.5*COUNTIF(Z18:AE18,"Partial"))/(COUNTA(Z18:AE18)-COUNTIF(Z18:AE18,"NA"))*100,"")</f>
        <v/>
      </c>
      <c r="AW18" s="13">
        <f>IFERROR((COUNTIF(AF18:AJ18,"Yes")+0.5*COUNTIF(AF18:AJ18,"Partial"))/(COUNTA(AF18:AJ18)-COUNTIF(AF18:AJ18,"NA"))*100,"")</f>
        <v/>
      </c>
      <c r="AX18" s="13">
        <f>IFERROR((COUNTIF(AK18:AM18,"Yes")+0.5*COUNTIF(AK18:AM18,"Partial"))/(COUNTA(AK18:AM18)-COUNTIF(AK18:AM18,"NA"))*100,"")</f>
        <v/>
      </c>
      <c r="AY18" s="13">
        <f>IFERROR((COUNTIF(AN18:AQ18,"Yes")+0.5*COUNTIF(AN18:AQ18,"Partial"))/(COUNTA(AN18:AQ18)-COUNTIF(AN18:AQ18,"NA"))*100,"")</f>
        <v/>
      </c>
      <c r="AZ18" s="14">
        <f>IFERROR(AVERAGE(IF(ISNUMBER(AR18:AY18),AR18:AY18)),"")</f>
        <v/>
      </c>
      <c r="BA18" s="15">
        <f>IF(AZ18="","",IF(AZ18&gt;=80,"Compliant",IF(AZ18&gt;=50,"Partial","Non-Compliant")))</f>
        <v/>
      </c>
      <c r="BB18" s="11" t="n"/>
    </row>
    <row r="19" ht="15" customHeight="1">
      <c r="A19" s="9" t="n">
        <v>17</v>
      </c>
      <c r="B19" s="10" t="inlineStr">
        <is>
          <t>DD1</t>
        </is>
      </c>
      <c r="C19" s="10" t="inlineStr">
        <is>
          <t>DD Block</t>
        </is>
      </c>
      <c r="D19" s="11" t="inlineStr">
        <is>
          <t>Vaibhav Tiwari</t>
        </is>
      </c>
      <c r="E19" s="12" t="inlineStr">
        <is>
          <t>26-Sep-2026</t>
        </is>
      </c>
      <c r="F19" s="9" t="inlineStr">
        <is>
          <t>No</t>
        </is>
      </c>
      <c r="G19" s="9" t="inlineStr">
        <is>
          <t>Yes</t>
        </is>
      </c>
      <c r="H19" s="9" t="inlineStr">
        <is>
          <t>Yes</t>
        </is>
      </c>
      <c r="I19" s="9" t="inlineStr">
        <is>
          <t>Partial</t>
        </is>
      </c>
      <c r="J19" s="9" t="inlineStr">
        <is>
          <t>No</t>
        </is>
      </c>
      <c r="K19" s="9" t="inlineStr">
        <is>
          <t>Yes</t>
        </is>
      </c>
      <c r="L19" s="9" t="inlineStr">
        <is>
          <t>No</t>
        </is>
      </c>
      <c r="M19" s="9" t="inlineStr">
        <is>
          <t>No</t>
        </is>
      </c>
      <c r="N19" s="9" t="inlineStr">
        <is>
          <t>No</t>
        </is>
      </c>
      <c r="O19" s="9" t="inlineStr">
        <is>
          <t>No</t>
        </is>
      </c>
      <c r="P19" s="9" t="inlineStr">
        <is>
          <t>No</t>
        </is>
      </c>
      <c r="Q19" s="9" t="inlineStr">
        <is>
          <t>No</t>
        </is>
      </c>
      <c r="R19" s="9" t="inlineStr">
        <is>
          <t>Yes</t>
        </is>
      </c>
      <c r="S19" s="9" t="inlineStr">
        <is>
          <t>No</t>
        </is>
      </c>
      <c r="T19" s="9" t="inlineStr">
        <is>
          <t>Yes</t>
        </is>
      </c>
      <c r="U19" s="9" t="inlineStr">
        <is>
          <t>Partial</t>
        </is>
      </c>
      <c r="V19" s="9" t="inlineStr">
        <is>
          <t>No</t>
        </is>
      </c>
      <c r="W19" s="9" t="inlineStr">
        <is>
          <t>No</t>
        </is>
      </c>
      <c r="X19" s="9" t="inlineStr">
        <is>
          <t>No</t>
        </is>
      </c>
      <c r="Y19" s="9" t="inlineStr">
        <is>
          <t>Yes</t>
        </is>
      </c>
      <c r="Z19" s="9" t="inlineStr">
        <is>
          <t>Yes</t>
        </is>
      </c>
      <c r="AA19" s="9" t="inlineStr">
        <is>
          <t>Yes</t>
        </is>
      </c>
      <c r="AB19" s="9" t="inlineStr">
        <is>
          <t>No</t>
        </is>
      </c>
      <c r="AC19" s="9" t="inlineStr">
        <is>
          <t>Yes</t>
        </is>
      </c>
      <c r="AD19" s="9" t="inlineStr">
        <is>
          <t>Yes</t>
        </is>
      </c>
      <c r="AE19" s="9" t="inlineStr">
        <is>
          <t>No</t>
        </is>
      </c>
      <c r="AF19" s="9" t="inlineStr">
        <is>
          <t>No</t>
        </is>
      </c>
      <c r="AG19" s="9" t="inlineStr">
        <is>
          <t>Yes</t>
        </is>
      </c>
      <c r="AH19" s="9" t="inlineStr">
        <is>
          <t>No</t>
        </is>
      </c>
      <c r="AI19" s="9" t="inlineStr">
        <is>
          <t>No</t>
        </is>
      </c>
      <c r="AJ19" s="9" t="inlineStr">
        <is>
          <t>No</t>
        </is>
      </c>
      <c r="AK19" s="9" t="inlineStr">
        <is>
          <t>No</t>
        </is>
      </c>
      <c r="AL19" s="9" t="inlineStr">
        <is>
          <t>No</t>
        </is>
      </c>
      <c r="AM19" s="9" t="inlineStr">
        <is>
          <t>No</t>
        </is>
      </c>
      <c r="AN19" s="9" t="inlineStr">
        <is>
          <t>Yes</t>
        </is>
      </c>
      <c r="AO19" s="9" t="inlineStr">
        <is>
          <t>Yes</t>
        </is>
      </c>
      <c r="AP19" s="9" t="inlineStr">
        <is>
          <t>Yes</t>
        </is>
      </c>
      <c r="AQ19" s="9" t="inlineStr">
        <is>
          <t>Yes</t>
        </is>
      </c>
      <c r="AR19" s="13">
        <f>IFERROR((COUNTIF(F19:K19,"Yes")+0.5*COUNTIF(F19:K19,"Partial"))/(COUNTA(F19:K19)-COUNTIF(F19:K19,"NA"))*100,"")</f>
        <v/>
      </c>
      <c r="AS19" s="13">
        <f>IFERROR((COUNTIF(L19:Q19,"Yes")+0.5*COUNTIF(L19:Q19,"Partial"))/(COUNTA(L19:Q19)-COUNTIF(L19:Q19,"NA"))*100,"")</f>
        <v/>
      </c>
      <c r="AT19" s="13">
        <f>IFERROR((COUNTIF(R19:U19,"Yes")+0.5*COUNTIF(R19:U19,"Partial"))/(COUNTA(R19:U19)-COUNTIF(R19:U19,"NA"))*100,"")</f>
        <v/>
      </c>
      <c r="AU19" s="13">
        <f>IFERROR((COUNTIF(V19:Y19,"Yes")+0.5*COUNTIF(V19:Y19,"Partial"))/(COUNTA(V19:Y19)-COUNTIF(V19:Y19,"NA"))*100,"")</f>
        <v/>
      </c>
      <c r="AV19" s="13">
        <f>IFERROR((COUNTIF(Z19:AE19,"Yes")+0.5*COUNTIF(Z19:AE19,"Partial"))/(COUNTA(Z19:AE19)-COUNTIF(Z19:AE19,"NA"))*100,"")</f>
        <v/>
      </c>
      <c r="AW19" s="13">
        <f>IFERROR((COUNTIF(AF19:AJ19,"Yes")+0.5*COUNTIF(AF19:AJ19,"Partial"))/(COUNTA(AF19:AJ19)-COUNTIF(AF19:AJ19,"NA"))*100,"")</f>
        <v/>
      </c>
      <c r="AX19" s="13">
        <f>IFERROR((COUNTIF(AK19:AM19,"Yes")+0.5*COUNTIF(AK19:AM19,"Partial"))/(COUNTA(AK19:AM19)-COUNTIF(AK19:AM19,"NA"))*100,"")</f>
        <v/>
      </c>
      <c r="AY19" s="13">
        <f>IFERROR((COUNTIF(AN19:AQ19,"Yes")+0.5*COUNTIF(AN19:AQ19,"Partial"))/(COUNTA(AN19:AQ19)-COUNTIF(AN19:AQ19,"NA"))*100,"")</f>
        <v/>
      </c>
      <c r="AZ19" s="14">
        <f>IFERROR(AVERAGE(IF(ISNUMBER(AR19:AY19),AR19:AY19)),"")</f>
        <v/>
      </c>
      <c r="BA19" s="15">
        <f>IF(AZ19="","",IF(AZ19&gt;=80,"Compliant",IF(AZ19&gt;=50,"Partial","Non-Compliant")))</f>
        <v/>
      </c>
      <c r="BB19" s="11" t="n"/>
    </row>
    <row r="20">
      <c r="A20" s="9" t="n">
        <v>18</v>
      </c>
      <c r="B20" s="10" t="inlineStr">
        <is>
          <t>DD2</t>
        </is>
      </c>
      <c r="C20" s="10" t="inlineStr">
        <is>
          <t>DD Block</t>
        </is>
      </c>
      <c r="D20" s="11" t="inlineStr">
        <is>
          <t>Vaibhav Tiwari</t>
        </is>
      </c>
      <c r="E20" s="12" t="inlineStr">
        <is>
          <t>26-Sep-2026</t>
        </is>
      </c>
      <c r="F20" s="9" t="inlineStr">
        <is>
          <t>No</t>
        </is>
      </c>
      <c r="G20" s="9" t="inlineStr">
        <is>
          <t>Yes</t>
        </is>
      </c>
      <c r="H20" s="9" t="inlineStr">
        <is>
          <t>Yes</t>
        </is>
      </c>
      <c r="I20" s="9" t="inlineStr">
        <is>
          <t>Partial</t>
        </is>
      </c>
      <c r="J20" s="9" t="inlineStr">
        <is>
          <t>No</t>
        </is>
      </c>
      <c r="K20" s="9" t="inlineStr">
        <is>
          <t>Yes</t>
        </is>
      </c>
      <c r="L20" s="9" t="inlineStr">
        <is>
          <t>No</t>
        </is>
      </c>
      <c r="M20" s="9" t="inlineStr">
        <is>
          <t>No</t>
        </is>
      </c>
      <c r="N20" s="9" t="inlineStr">
        <is>
          <t>No</t>
        </is>
      </c>
      <c r="O20" s="9" t="inlineStr">
        <is>
          <t>No</t>
        </is>
      </c>
      <c r="P20" s="9" t="inlineStr">
        <is>
          <t>No</t>
        </is>
      </c>
      <c r="Q20" s="9" t="inlineStr">
        <is>
          <t>No</t>
        </is>
      </c>
      <c r="R20" s="9" t="inlineStr">
        <is>
          <t>Yes</t>
        </is>
      </c>
      <c r="S20" s="9" t="inlineStr">
        <is>
          <t>No</t>
        </is>
      </c>
      <c r="T20" s="9" t="inlineStr">
        <is>
          <t>Yes</t>
        </is>
      </c>
      <c r="U20" s="9" t="inlineStr">
        <is>
          <t>Partial</t>
        </is>
      </c>
      <c r="V20" s="9" t="inlineStr">
        <is>
          <t>No</t>
        </is>
      </c>
      <c r="W20" s="9" t="inlineStr">
        <is>
          <t>No</t>
        </is>
      </c>
      <c r="X20" s="9" t="inlineStr">
        <is>
          <t>No</t>
        </is>
      </c>
      <c r="Y20" s="9" t="inlineStr">
        <is>
          <t>Yes</t>
        </is>
      </c>
      <c r="Z20" s="9" t="inlineStr">
        <is>
          <t>Yes</t>
        </is>
      </c>
      <c r="AA20" s="9" t="inlineStr">
        <is>
          <t>Yes</t>
        </is>
      </c>
      <c r="AB20" s="9" t="inlineStr">
        <is>
          <t>No</t>
        </is>
      </c>
      <c r="AC20" s="9" t="inlineStr">
        <is>
          <t>Yes</t>
        </is>
      </c>
      <c r="AD20" s="9" t="inlineStr">
        <is>
          <t>Yes</t>
        </is>
      </c>
      <c r="AE20" s="9" t="inlineStr">
        <is>
          <t>No</t>
        </is>
      </c>
      <c r="AF20" s="9" t="inlineStr">
        <is>
          <t>No</t>
        </is>
      </c>
      <c r="AG20" s="9" t="inlineStr">
        <is>
          <t>Yes</t>
        </is>
      </c>
      <c r="AH20" s="9" t="inlineStr">
        <is>
          <t>No</t>
        </is>
      </c>
      <c r="AI20" s="9" t="inlineStr">
        <is>
          <t>No</t>
        </is>
      </c>
      <c r="AJ20" s="9" t="inlineStr">
        <is>
          <t>No</t>
        </is>
      </c>
      <c r="AK20" s="9" t="inlineStr">
        <is>
          <t>No</t>
        </is>
      </c>
      <c r="AL20" s="9" t="inlineStr">
        <is>
          <t>No</t>
        </is>
      </c>
      <c r="AM20" s="9" t="inlineStr">
        <is>
          <t>No</t>
        </is>
      </c>
      <c r="AN20" s="9" t="inlineStr">
        <is>
          <t>Yes</t>
        </is>
      </c>
      <c r="AO20" s="9" t="inlineStr">
        <is>
          <t>Yes</t>
        </is>
      </c>
      <c r="AP20" s="9" t="inlineStr">
        <is>
          <t>Yes</t>
        </is>
      </c>
      <c r="AQ20" s="9" t="inlineStr">
        <is>
          <t>Yes</t>
        </is>
      </c>
      <c r="AR20" s="13">
        <f>IFERROR((COUNTIF(F20:K20,"Yes")+0.5*COUNTIF(F20:K20,"Partial"))/(COUNTA(F20:K20)-COUNTIF(F20:K20,"NA"))*100,"")</f>
        <v/>
      </c>
      <c r="AS20" s="13">
        <f>IFERROR((COUNTIF(L20:Q20,"Yes")+0.5*COUNTIF(L20:Q20,"Partial"))/(COUNTA(L20:Q20)-COUNTIF(L20:Q20,"NA"))*100,"")</f>
        <v/>
      </c>
      <c r="AT20" s="13">
        <f>IFERROR((COUNTIF(R20:U20,"Yes")+0.5*COUNTIF(R20:U20,"Partial"))/(COUNTA(R20:U20)-COUNTIF(R20:U20,"NA"))*100,"")</f>
        <v/>
      </c>
      <c r="AU20" s="13">
        <f>IFERROR((COUNTIF(V20:Y20,"Yes")+0.5*COUNTIF(V20:Y20,"Partial"))/(COUNTA(V20:Y20)-COUNTIF(V20:Y20,"NA"))*100,"")</f>
        <v/>
      </c>
      <c r="AV20" s="13">
        <f>IFERROR((COUNTIF(Z20:AE20,"Yes")+0.5*COUNTIF(Z20:AE20,"Partial"))/(COUNTA(Z20:AE20)-COUNTIF(Z20:AE20,"NA"))*100,"")</f>
        <v/>
      </c>
      <c r="AW20" s="13">
        <f>IFERROR((COUNTIF(AF20:AJ20,"Yes")+0.5*COUNTIF(AF20:AJ20,"Partial"))/(COUNTA(AF20:AJ20)-COUNTIF(AF20:AJ20,"NA"))*100,"")</f>
        <v/>
      </c>
      <c r="AX20" s="13">
        <f>IFERROR((COUNTIF(AK20:AM20,"Yes")+0.5*COUNTIF(AK20:AM20,"Partial"))/(COUNTA(AK20:AM20)-COUNTIF(AK20:AM20,"NA"))*100,"")</f>
        <v/>
      </c>
      <c r="AY20" s="13">
        <f>IFERROR((COUNTIF(AN20:AQ20,"Yes")+0.5*COUNTIF(AN20:AQ20,"Partial"))/(COUNTA(AN20:AQ20)-COUNTIF(AN20:AQ20,"NA"))*100,"")</f>
        <v/>
      </c>
      <c r="AZ20" s="14">
        <f>IFERROR(AVERAGE(IF(ISNUMBER(AR20:AY20),AR20:AY20)),"")</f>
        <v/>
      </c>
      <c r="BA20" s="15">
        <f>IF(AZ20="","",IF(AZ20&gt;=80,"Compliant",IF(AZ20&gt;=50,"Partial","Non-Compliant")))</f>
        <v/>
      </c>
      <c r="BB20" s="11" t="n"/>
    </row>
    <row r="21" ht="15" customHeight="1">
      <c r="A21" s="9" t="n">
        <v>19</v>
      </c>
      <c r="B21" s="10" t="inlineStr">
        <is>
          <t>C1</t>
        </is>
      </c>
      <c r="C21" s="10" t="inlineStr">
        <is>
          <t>C Block</t>
        </is>
      </c>
      <c r="D21" s="11" t="inlineStr">
        <is>
          <t>Vaibhav Tiwari</t>
        </is>
      </c>
      <c r="E21" s="12" t="inlineStr">
        <is>
          <t>26-Sep-2026</t>
        </is>
      </c>
      <c r="F21" s="9" t="inlineStr">
        <is>
          <t>No</t>
        </is>
      </c>
      <c r="G21" s="9" t="inlineStr">
        <is>
          <t>Yes</t>
        </is>
      </c>
      <c r="H21" s="9" t="inlineStr">
        <is>
          <t>Partial</t>
        </is>
      </c>
      <c r="I21" s="9" t="inlineStr">
        <is>
          <t>Yes</t>
        </is>
      </c>
      <c r="J21" s="9" t="inlineStr">
        <is>
          <t>No</t>
        </is>
      </c>
      <c r="K21" s="9" t="inlineStr">
        <is>
          <t>Yes</t>
        </is>
      </c>
      <c r="L21" s="9" t="inlineStr">
        <is>
          <t>Yes</t>
        </is>
      </c>
      <c r="M21" s="9" t="inlineStr">
        <is>
          <t>Yes</t>
        </is>
      </c>
      <c r="N21" s="9" t="inlineStr">
        <is>
          <t>No</t>
        </is>
      </c>
      <c r="O21" s="9" t="inlineStr">
        <is>
          <t>Yes</t>
        </is>
      </c>
      <c r="P21" s="9" t="inlineStr">
        <is>
          <t>Yes</t>
        </is>
      </c>
      <c r="Q21" s="9" t="inlineStr">
        <is>
          <t>No</t>
        </is>
      </c>
      <c r="R21" s="9" t="inlineStr">
        <is>
          <t>Yes</t>
        </is>
      </c>
      <c r="S21" s="9" t="inlineStr">
        <is>
          <t>Yes</t>
        </is>
      </c>
      <c r="T21" s="9" t="inlineStr">
        <is>
          <t>Yes</t>
        </is>
      </c>
      <c r="U21" s="9" t="inlineStr">
        <is>
          <t>Partial</t>
        </is>
      </c>
      <c r="V21" s="9" t="inlineStr">
        <is>
          <t>Yes</t>
        </is>
      </c>
      <c r="W21" s="9" t="inlineStr">
        <is>
          <t>Yes</t>
        </is>
      </c>
      <c r="X21" s="9" t="inlineStr">
        <is>
          <t>Yes</t>
        </is>
      </c>
      <c r="Y21" s="9" t="inlineStr">
        <is>
          <t>Yes</t>
        </is>
      </c>
      <c r="Z21" s="9" t="inlineStr">
        <is>
          <t>Yes</t>
        </is>
      </c>
      <c r="AA21" s="9" t="inlineStr">
        <is>
          <t>Yes</t>
        </is>
      </c>
      <c r="AB21" s="9" t="inlineStr">
        <is>
          <t>Yes</t>
        </is>
      </c>
      <c r="AC21" s="9" t="inlineStr">
        <is>
          <t>Yes</t>
        </is>
      </c>
      <c r="AD21" s="9" t="inlineStr">
        <is>
          <t>Yes</t>
        </is>
      </c>
      <c r="AE21" s="9" t="inlineStr">
        <is>
          <t>Yes</t>
        </is>
      </c>
      <c r="AF21" s="9" t="inlineStr">
        <is>
          <t>Yes</t>
        </is>
      </c>
      <c r="AG21" s="9" t="inlineStr">
        <is>
          <t>No</t>
        </is>
      </c>
      <c r="AH21" s="9" t="inlineStr">
        <is>
          <t>Yes</t>
        </is>
      </c>
      <c r="AI21" s="9" t="inlineStr">
        <is>
          <t>Partial</t>
        </is>
      </c>
      <c r="AJ21" s="9" t="inlineStr">
        <is>
          <t>No</t>
        </is>
      </c>
      <c r="AK21" s="9" t="inlineStr">
        <is>
          <t>Yes</t>
        </is>
      </c>
      <c r="AL21" s="9" t="inlineStr">
        <is>
          <t>Yes</t>
        </is>
      </c>
      <c r="AM21" s="9" t="inlineStr">
        <is>
          <t>Yes</t>
        </is>
      </c>
      <c r="AN21" s="9" t="inlineStr">
        <is>
          <t>Yes</t>
        </is>
      </c>
      <c r="AO21" s="9" t="inlineStr">
        <is>
          <t>Yes</t>
        </is>
      </c>
      <c r="AP21" s="9" t="inlineStr">
        <is>
          <t>Yes</t>
        </is>
      </c>
      <c r="AQ21" s="9" t="inlineStr">
        <is>
          <t>No</t>
        </is>
      </c>
      <c r="AR21" s="13">
        <f>IFERROR((COUNTIF(F21:K21,"Yes")+0.5*COUNTIF(F21:K21,"Partial"))/(COUNTA(F21:K21)-COUNTIF(F21:K21,"NA"))*100,"")</f>
        <v/>
      </c>
      <c r="AS21" s="13">
        <f>IFERROR((COUNTIF(L21:Q21,"Yes")+0.5*COUNTIF(L21:Q21,"Partial"))/(COUNTA(L21:Q21)-COUNTIF(L21:Q21,"NA"))*100,"")</f>
        <v/>
      </c>
      <c r="AT21" s="13">
        <f>IFERROR((COUNTIF(R21:U21,"Yes")+0.5*COUNTIF(R21:U21,"Partial"))/(COUNTA(R21:U21)-COUNTIF(R21:U21,"NA"))*100,"")</f>
        <v/>
      </c>
      <c r="AU21" s="13">
        <f>IFERROR((COUNTIF(V21:Y21,"Yes")+0.5*COUNTIF(V21:Y21,"Partial"))/(COUNTA(V21:Y21)-COUNTIF(V21:Y21,"NA"))*100,"")</f>
        <v/>
      </c>
      <c r="AV21" s="13">
        <f>IFERROR((COUNTIF(Z21:AE21,"Yes")+0.5*COUNTIF(Z21:AE21,"Partial"))/(COUNTA(Z21:AE21)-COUNTIF(Z21:AE21,"NA"))*100,"")</f>
        <v/>
      </c>
      <c r="AW21" s="13">
        <f>IFERROR((COUNTIF(AF21:AJ21,"Yes")+0.5*COUNTIF(AF21:AJ21,"Partial"))/(COUNTA(AF21:AJ21)-COUNTIF(AF21:AJ21,"NA"))*100,"")</f>
        <v/>
      </c>
      <c r="AX21" s="13">
        <f>IFERROR((COUNTIF(AK21:AM21,"Yes")+0.5*COUNTIF(AK21:AM21,"Partial"))/(COUNTA(AK21:AM21)-COUNTIF(AK21:AM21,"NA"))*100,"")</f>
        <v/>
      </c>
      <c r="AY21" s="13">
        <f>IFERROR((COUNTIF(AN21:AQ21,"Yes")+0.5*COUNTIF(AN21:AQ21,"Partial"))/(COUNTA(AN21:AQ21)-COUNTIF(AN21:AQ21,"NA"))*100,"")</f>
        <v/>
      </c>
      <c r="AZ21" s="14">
        <f>IFERROR(AVERAGE(IF(ISNUMBER(AR21:AY21),AR21:AY21)),"")</f>
        <v/>
      </c>
      <c r="BA21" s="15">
        <f>IF(AZ21="","",IF(AZ21&gt;=80,"Compliant",IF(AZ21&gt;=50,"Partial","Non-Compliant")))</f>
        <v/>
      </c>
      <c r="BB21" s="11" t="n"/>
    </row>
    <row r="22">
      <c r="A22" s="9" t="n">
        <v>20</v>
      </c>
      <c r="B22" s="10" t="inlineStr">
        <is>
          <t>C2</t>
        </is>
      </c>
      <c r="C22" s="10" t="inlineStr">
        <is>
          <t>C Block</t>
        </is>
      </c>
      <c r="D22" s="11" t="inlineStr">
        <is>
          <t>Vaibhav Tiwari</t>
        </is>
      </c>
      <c r="E22" s="12" t="inlineStr">
        <is>
          <t>26-Sep-2026</t>
        </is>
      </c>
      <c r="F22" s="9" t="inlineStr">
        <is>
          <t>No</t>
        </is>
      </c>
      <c r="G22" s="9" t="inlineStr">
        <is>
          <t>Yes</t>
        </is>
      </c>
      <c r="H22" s="9" t="inlineStr">
        <is>
          <t>Partial</t>
        </is>
      </c>
      <c r="I22" s="9" t="inlineStr">
        <is>
          <t>Yes</t>
        </is>
      </c>
      <c r="J22" s="9" t="inlineStr">
        <is>
          <t>No</t>
        </is>
      </c>
      <c r="K22" s="9" t="inlineStr">
        <is>
          <t>Yes</t>
        </is>
      </c>
      <c r="L22" s="9" t="inlineStr">
        <is>
          <t>Yes</t>
        </is>
      </c>
      <c r="M22" s="9" t="inlineStr">
        <is>
          <t>Yes</t>
        </is>
      </c>
      <c r="N22" s="9" t="inlineStr">
        <is>
          <t>No</t>
        </is>
      </c>
      <c r="O22" s="9" t="inlineStr">
        <is>
          <t>Yes</t>
        </is>
      </c>
      <c r="P22" s="9" t="inlineStr">
        <is>
          <t>Yes</t>
        </is>
      </c>
      <c r="Q22" s="9" t="inlineStr">
        <is>
          <t>No</t>
        </is>
      </c>
      <c r="R22" s="9" t="inlineStr">
        <is>
          <t>Yes</t>
        </is>
      </c>
      <c r="S22" s="9" t="inlineStr">
        <is>
          <t>Yes</t>
        </is>
      </c>
      <c r="T22" s="9" t="inlineStr">
        <is>
          <t>Yes</t>
        </is>
      </c>
      <c r="U22" s="9" t="inlineStr">
        <is>
          <t>Partial</t>
        </is>
      </c>
      <c r="V22" s="9" t="inlineStr">
        <is>
          <t>Yes</t>
        </is>
      </c>
      <c r="W22" s="9" t="inlineStr">
        <is>
          <t>Yes</t>
        </is>
      </c>
      <c r="X22" s="9" t="inlineStr">
        <is>
          <t>Yes</t>
        </is>
      </c>
      <c r="Y22" s="9" t="inlineStr">
        <is>
          <t>Yes</t>
        </is>
      </c>
      <c r="Z22" s="9" t="inlineStr">
        <is>
          <t>Yes</t>
        </is>
      </c>
      <c r="AA22" s="9" t="inlineStr">
        <is>
          <t>Yes</t>
        </is>
      </c>
      <c r="AB22" s="9" t="inlineStr">
        <is>
          <t>Yes</t>
        </is>
      </c>
      <c r="AC22" s="9" t="inlineStr">
        <is>
          <t>Yes</t>
        </is>
      </c>
      <c r="AD22" s="9" t="inlineStr">
        <is>
          <t>Yes</t>
        </is>
      </c>
      <c r="AE22" s="9" t="inlineStr">
        <is>
          <t>Yes</t>
        </is>
      </c>
      <c r="AF22" s="9" t="inlineStr">
        <is>
          <t>Yes</t>
        </is>
      </c>
      <c r="AG22" s="9" t="inlineStr">
        <is>
          <t>No</t>
        </is>
      </c>
      <c r="AH22" s="9" t="inlineStr">
        <is>
          <t>Yes</t>
        </is>
      </c>
      <c r="AI22" s="9" t="inlineStr">
        <is>
          <t>Partial</t>
        </is>
      </c>
      <c r="AJ22" s="9" t="inlineStr">
        <is>
          <t>No</t>
        </is>
      </c>
      <c r="AK22" s="9" t="inlineStr">
        <is>
          <t>Yes</t>
        </is>
      </c>
      <c r="AL22" s="9" t="inlineStr">
        <is>
          <t>Yes</t>
        </is>
      </c>
      <c r="AM22" s="9" t="inlineStr">
        <is>
          <t>Yes</t>
        </is>
      </c>
      <c r="AN22" s="9" t="inlineStr">
        <is>
          <t>Yes</t>
        </is>
      </c>
      <c r="AO22" s="9" t="inlineStr">
        <is>
          <t>Yes</t>
        </is>
      </c>
      <c r="AP22" s="9" t="inlineStr">
        <is>
          <t>Yes</t>
        </is>
      </c>
      <c r="AQ22" s="9" t="inlineStr">
        <is>
          <t>No</t>
        </is>
      </c>
      <c r="AR22" s="13">
        <f>IFERROR((COUNTIF(F22:K22,"Yes")+0.5*COUNTIF(F22:K22,"Partial"))/(COUNTA(F22:K22)-COUNTIF(F22:K22,"NA"))*100,"")</f>
        <v/>
      </c>
      <c r="AS22" s="13">
        <f>IFERROR((COUNTIF(L22:Q22,"Yes")+0.5*COUNTIF(L22:Q22,"Partial"))/(COUNTA(L22:Q22)-COUNTIF(L22:Q22,"NA"))*100,"")</f>
        <v/>
      </c>
      <c r="AT22" s="13">
        <f>IFERROR((COUNTIF(R22:U22,"Yes")+0.5*COUNTIF(R22:U22,"Partial"))/(COUNTA(R22:U22)-COUNTIF(R22:U22,"NA"))*100,"")</f>
        <v/>
      </c>
      <c r="AU22" s="13">
        <f>IFERROR((COUNTIF(V22:Y22,"Yes")+0.5*COUNTIF(V22:Y22,"Partial"))/(COUNTA(V22:Y22)-COUNTIF(V22:Y22,"NA"))*100,"")</f>
        <v/>
      </c>
      <c r="AV22" s="13">
        <f>IFERROR((COUNTIF(Z22:AE22,"Yes")+0.5*COUNTIF(Z22:AE22,"Partial"))/(COUNTA(Z22:AE22)-COUNTIF(Z22:AE22,"NA"))*100,"")</f>
        <v/>
      </c>
      <c r="AW22" s="13">
        <f>IFERROR((COUNTIF(AF22:AJ22,"Yes")+0.5*COUNTIF(AF22:AJ22,"Partial"))/(COUNTA(AF22:AJ22)-COUNTIF(AF22:AJ22,"NA"))*100,"")</f>
        <v/>
      </c>
      <c r="AX22" s="13">
        <f>IFERROR((COUNTIF(AK22:AM22,"Yes")+0.5*COUNTIF(AK22:AM22,"Partial"))/(COUNTA(AK22:AM22)-COUNTIF(AK22:AM22,"NA"))*100,"")</f>
        <v/>
      </c>
      <c r="AY22" s="13">
        <f>IFERROR((COUNTIF(AN22:AQ22,"Yes")+0.5*COUNTIF(AN22:AQ22,"Partial"))/(COUNTA(AN22:AQ22)-COUNTIF(AN22:AQ22,"NA"))*100,"")</f>
        <v/>
      </c>
      <c r="AZ22" s="14">
        <f>IFERROR(AVERAGE(IF(ISNUMBER(AR22:AY22),AR22:AY22)),"")</f>
        <v/>
      </c>
      <c r="BA22" s="15">
        <f>IF(AZ22="","",IF(AZ22&gt;=80,"Compliant",IF(AZ22&gt;=50,"Partial","Non-Compliant")))</f>
        <v/>
      </c>
      <c r="BB22" s="11" t="n"/>
    </row>
    <row r="23" ht="15" customHeight="1">
      <c r="A23" s="9" t="n">
        <v>21</v>
      </c>
      <c r="B23" s="10" t="inlineStr">
        <is>
          <t>C3</t>
        </is>
      </c>
      <c r="C23" s="10" t="inlineStr">
        <is>
          <t>C Block</t>
        </is>
      </c>
      <c r="D23" s="11" t="inlineStr">
        <is>
          <t>Vaibhav Tiwari</t>
        </is>
      </c>
      <c r="E23" s="12" t="inlineStr">
        <is>
          <t>26-Sep-2026</t>
        </is>
      </c>
      <c r="F23" s="9" t="inlineStr">
        <is>
          <t>Yes</t>
        </is>
      </c>
      <c r="G23" s="9" t="inlineStr">
        <is>
          <t>Yes</t>
        </is>
      </c>
      <c r="H23" s="9" t="inlineStr">
        <is>
          <t>Yes</t>
        </is>
      </c>
      <c r="I23" s="9" t="inlineStr">
        <is>
          <t>Yes</t>
        </is>
      </c>
      <c r="J23" s="9" t="inlineStr">
        <is>
          <t>Yes</t>
        </is>
      </c>
      <c r="K23" s="9" t="inlineStr">
        <is>
          <t>Yes</t>
        </is>
      </c>
      <c r="L23" s="9" t="inlineStr">
        <is>
          <t>Yes</t>
        </is>
      </c>
      <c r="M23" s="9" t="inlineStr">
        <is>
          <t>Yes</t>
        </is>
      </c>
      <c r="N23" s="9" t="inlineStr">
        <is>
          <t>No</t>
        </is>
      </c>
      <c r="O23" s="9" t="inlineStr">
        <is>
          <t>Yes</t>
        </is>
      </c>
      <c r="P23" s="9" t="inlineStr">
        <is>
          <t>Yes</t>
        </is>
      </c>
      <c r="Q23" s="9" t="inlineStr">
        <is>
          <t>No</t>
        </is>
      </c>
      <c r="R23" s="9" t="inlineStr">
        <is>
          <t>Yes</t>
        </is>
      </c>
      <c r="S23" s="9" t="inlineStr">
        <is>
          <t>Yes</t>
        </is>
      </c>
      <c r="T23" s="9" t="inlineStr">
        <is>
          <t>Yes</t>
        </is>
      </c>
      <c r="U23" s="9" t="inlineStr">
        <is>
          <t>Partial</t>
        </is>
      </c>
      <c r="V23" s="9" t="inlineStr">
        <is>
          <t>No</t>
        </is>
      </c>
      <c r="W23" s="9" t="inlineStr">
        <is>
          <t>No</t>
        </is>
      </c>
      <c r="X23" s="9" t="inlineStr">
        <is>
          <t>No</t>
        </is>
      </c>
      <c r="Y23" s="9" t="inlineStr">
        <is>
          <t>Yes</t>
        </is>
      </c>
      <c r="Z23" s="9" t="inlineStr">
        <is>
          <t>Yes</t>
        </is>
      </c>
      <c r="AA23" s="9" t="inlineStr">
        <is>
          <t>Yes</t>
        </is>
      </c>
      <c r="AB23" s="9" t="inlineStr">
        <is>
          <t>No</t>
        </is>
      </c>
      <c r="AC23" s="9" t="inlineStr">
        <is>
          <t>Yes</t>
        </is>
      </c>
      <c r="AD23" s="9" t="inlineStr">
        <is>
          <t>Yes</t>
        </is>
      </c>
      <c r="AE23" s="9" t="inlineStr">
        <is>
          <t>No</t>
        </is>
      </c>
      <c r="AF23" s="9" t="inlineStr">
        <is>
          <t>No</t>
        </is>
      </c>
      <c r="AG23" s="9" t="inlineStr">
        <is>
          <t>No</t>
        </is>
      </c>
      <c r="AH23" s="9" t="inlineStr">
        <is>
          <t>Yes</t>
        </is>
      </c>
      <c r="AI23" s="9" t="inlineStr">
        <is>
          <t>No</t>
        </is>
      </c>
      <c r="AJ23" s="9" t="inlineStr">
        <is>
          <t>No</t>
        </is>
      </c>
      <c r="AK23" s="9" t="inlineStr">
        <is>
          <t>No</t>
        </is>
      </c>
      <c r="AL23" s="9" t="inlineStr">
        <is>
          <t>Yes</t>
        </is>
      </c>
      <c r="AM23" s="9" t="inlineStr">
        <is>
          <t>Yes</t>
        </is>
      </c>
      <c r="AN23" s="9" t="inlineStr">
        <is>
          <t>Yes</t>
        </is>
      </c>
      <c r="AO23" s="9" t="inlineStr">
        <is>
          <t>Partial</t>
        </is>
      </c>
      <c r="AP23" s="9" t="inlineStr">
        <is>
          <t>Partial</t>
        </is>
      </c>
      <c r="AQ23" s="9" t="inlineStr">
        <is>
          <t>No</t>
        </is>
      </c>
      <c r="AR23" s="13">
        <f>IFERROR((COUNTIF(F23:K23,"Yes")+0.5*COUNTIF(F23:K23,"Partial"))/(COUNTA(F23:K23)-COUNTIF(F23:K23,"NA"))*100,"")</f>
        <v/>
      </c>
      <c r="AS23" s="13">
        <f>IFERROR((COUNTIF(L23:Q23,"Yes")+0.5*COUNTIF(L23:Q23,"Partial"))/(COUNTA(L23:Q23)-COUNTIF(L23:Q23,"NA"))*100,"")</f>
        <v/>
      </c>
      <c r="AT23" s="13">
        <f>IFERROR((COUNTIF(R23:U23,"Yes")+0.5*COUNTIF(R23:U23,"Partial"))/(COUNTA(R23:U23)-COUNTIF(R23:U23,"NA"))*100,"")</f>
        <v/>
      </c>
      <c r="AU23" s="13">
        <f>IFERROR((COUNTIF(V23:Y23,"Yes")+0.5*COUNTIF(V23:Y23,"Partial"))/(COUNTA(V23:Y23)-COUNTIF(V23:Y23,"NA"))*100,"")</f>
        <v/>
      </c>
      <c r="AV23" s="13">
        <f>IFERROR((COUNTIF(Z23:AE23,"Yes")+0.5*COUNTIF(Z23:AE23,"Partial"))/(COUNTA(Z23:AE23)-COUNTIF(Z23:AE23,"NA"))*100,"")</f>
        <v/>
      </c>
      <c r="AW23" s="13">
        <f>IFERROR((COUNTIF(AF23:AJ23,"Yes")+0.5*COUNTIF(AF23:AJ23,"Partial"))/(COUNTA(AF23:AJ23)-COUNTIF(AF23:AJ23,"NA"))*100,"")</f>
        <v/>
      </c>
      <c r="AX23" s="13">
        <f>IFERROR((COUNTIF(AK23:AM23,"Yes")+0.5*COUNTIF(AK23:AM23,"Partial"))/(COUNTA(AK23:AM23)-COUNTIF(AK23:AM23,"NA"))*100,"")</f>
        <v/>
      </c>
      <c r="AY23" s="13">
        <f>IFERROR((COUNTIF(AN23:AQ23,"Yes")+0.5*COUNTIF(AN23:AQ23,"Partial"))/(COUNTA(AN23:AQ23)-COUNTIF(AN23:AQ23,"NA"))*100,"")</f>
        <v/>
      </c>
      <c r="AZ23" s="14">
        <f>IFERROR(AVERAGE(IF(ISNUMBER(AR23:AY23),AR23:AY23)),"")</f>
        <v/>
      </c>
      <c r="BA23" s="15">
        <f>IF(AZ23="","",IF(AZ23&gt;=80,"Compliant",IF(AZ23&gt;=50,"Partial","Non-Compliant")))</f>
        <v/>
      </c>
      <c r="BB23" s="11" t="n"/>
    </row>
    <row r="24">
      <c r="A24" s="9" t="n">
        <v>22</v>
      </c>
      <c r="B24" s="10" t="inlineStr">
        <is>
          <t>B1</t>
        </is>
      </c>
      <c r="C24" s="10" t="inlineStr">
        <is>
          <t>B Block</t>
        </is>
      </c>
      <c r="D24" s="11" t="inlineStr">
        <is>
          <t>Vaibhav Tiwari</t>
        </is>
      </c>
      <c r="E24" s="12" t="inlineStr">
        <is>
          <t>26-Sep-2026</t>
        </is>
      </c>
      <c r="F24" s="9" t="inlineStr">
        <is>
          <t>No</t>
        </is>
      </c>
      <c r="G24" s="9" t="inlineStr">
        <is>
          <t>Yes</t>
        </is>
      </c>
      <c r="H24" s="9" t="inlineStr">
        <is>
          <t>Yes</t>
        </is>
      </c>
      <c r="I24" s="9" t="inlineStr">
        <is>
          <t>Yes</t>
        </is>
      </c>
      <c r="J24" s="9" t="inlineStr">
        <is>
          <t>Yes</t>
        </is>
      </c>
      <c r="K24" s="9" t="inlineStr">
        <is>
          <t>Yes</t>
        </is>
      </c>
      <c r="L24" s="9" t="inlineStr">
        <is>
          <t>Yes</t>
        </is>
      </c>
      <c r="M24" s="9" t="inlineStr">
        <is>
          <t>Yes</t>
        </is>
      </c>
      <c r="N24" s="9" t="inlineStr">
        <is>
          <t>No</t>
        </is>
      </c>
      <c r="O24" s="9" t="inlineStr">
        <is>
          <t>Yes</t>
        </is>
      </c>
      <c r="P24" s="9" t="inlineStr">
        <is>
          <t>Yes</t>
        </is>
      </c>
      <c r="Q24" s="9" t="inlineStr">
        <is>
          <t>No</t>
        </is>
      </c>
      <c r="R24" s="9" t="inlineStr">
        <is>
          <t>Yes</t>
        </is>
      </c>
      <c r="S24" s="9" t="inlineStr">
        <is>
          <t>Yes</t>
        </is>
      </c>
      <c r="T24" s="9" t="inlineStr">
        <is>
          <t>Yes</t>
        </is>
      </c>
      <c r="U24" s="9" t="inlineStr">
        <is>
          <t>Partial</t>
        </is>
      </c>
      <c r="V24" s="9" t="inlineStr">
        <is>
          <t>No</t>
        </is>
      </c>
      <c r="W24" s="9" t="inlineStr">
        <is>
          <t>No</t>
        </is>
      </c>
      <c r="X24" s="9" t="inlineStr">
        <is>
          <t>No</t>
        </is>
      </c>
      <c r="Y24" s="9" t="inlineStr">
        <is>
          <t>Yes</t>
        </is>
      </c>
      <c r="Z24" s="9" t="inlineStr">
        <is>
          <t>Yes</t>
        </is>
      </c>
      <c r="AA24" s="9" t="inlineStr">
        <is>
          <t>Yes</t>
        </is>
      </c>
      <c r="AB24" s="9" t="inlineStr">
        <is>
          <t>No</t>
        </is>
      </c>
      <c r="AC24" s="9" t="inlineStr">
        <is>
          <t>Yes</t>
        </is>
      </c>
      <c r="AD24" s="9" t="inlineStr">
        <is>
          <t>Yes</t>
        </is>
      </c>
      <c r="AE24" s="9" t="inlineStr">
        <is>
          <t>No</t>
        </is>
      </c>
      <c r="AF24" s="9" t="inlineStr">
        <is>
          <t>No</t>
        </is>
      </c>
      <c r="AG24" s="9" t="inlineStr">
        <is>
          <t>No</t>
        </is>
      </c>
      <c r="AH24" s="9" t="inlineStr">
        <is>
          <t>Yes</t>
        </is>
      </c>
      <c r="AI24" s="9" t="inlineStr">
        <is>
          <t>No</t>
        </is>
      </c>
      <c r="AJ24" s="9" t="inlineStr">
        <is>
          <t>No</t>
        </is>
      </c>
      <c r="AK24" s="9" t="inlineStr">
        <is>
          <t>No</t>
        </is>
      </c>
      <c r="AL24" s="9" t="inlineStr">
        <is>
          <t>Yes</t>
        </is>
      </c>
      <c r="AM24" s="9" t="inlineStr">
        <is>
          <t>Yes</t>
        </is>
      </c>
      <c r="AN24" s="9" t="inlineStr">
        <is>
          <t>No</t>
        </is>
      </c>
      <c r="AO24" s="9" t="inlineStr">
        <is>
          <t>Yes</t>
        </is>
      </c>
      <c r="AP24" s="9" t="inlineStr">
        <is>
          <t>Partial</t>
        </is>
      </c>
      <c r="AQ24" s="9" t="inlineStr">
        <is>
          <t>Yes</t>
        </is>
      </c>
      <c r="AR24" s="13">
        <f>IFERROR((COUNTIF(F24:K24,"Yes")+0.5*COUNTIF(F24:K24,"Partial"))/(COUNTA(F24:K24)-COUNTIF(F24:K24,"NA"))*100,"")</f>
        <v/>
      </c>
      <c r="AS24" s="13">
        <f>IFERROR((COUNTIF(L24:Q24,"Yes")+0.5*COUNTIF(L24:Q24,"Partial"))/(COUNTA(L24:Q24)-COUNTIF(L24:Q24,"NA"))*100,"")</f>
        <v/>
      </c>
      <c r="AT24" s="13">
        <f>IFERROR((COUNTIF(R24:U24,"Yes")+0.5*COUNTIF(R24:U24,"Partial"))/(COUNTA(R24:U24)-COUNTIF(R24:U24,"NA"))*100,"")</f>
        <v/>
      </c>
      <c r="AU24" s="13">
        <f>IFERROR((COUNTIF(V24:Y24,"Yes")+0.5*COUNTIF(V24:Y24,"Partial"))/(COUNTA(V24:Y24)-COUNTIF(V24:Y24,"NA"))*100,"")</f>
        <v/>
      </c>
      <c r="AV24" s="13">
        <f>IFERROR((COUNTIF(Z24:AE24,"Yes")+0.5*COUNTIF(Z24:AE24,"Partial"))/(COUNTA(Z24:AE24)-COUNTIF(Z24:AE24,"NA"))*100,"")</f>
        <v/>
      </c>
      <c r="AW24" s="13">
        <f>IFERROR((COUNTIF(AF24:AJ24,"Yes")+0.5*COUNTIF(AF24:AJ24,"Partial"))/(COUNTA(AF24:AJ24)-COUNTIF(AF24:AJ24,"NA"))*100,"")</f>
        <v/>
      </c>
      <c r="AX24" s="13">
        <f>IFERROR((COUNTIF(AK24:AM24,"Yes")+0.5*COUNTIF(AK24:AM24,"Partial"))/(COUNTA(AK24:AM24)-COUNTIF(AK24:AM24,"NA"))*100,"")</f>
        <v/>
      </c>
      <c r="AY24" s="13">
        <f>IFERROR((COUNTIF(AN24:AQ24,"Yes")+0.5*COUNTIF(AN24:AQ24,"Partial"))/(COUNTA(AN24:AQ24)-COUNTIF(AN24:AQ24,"NA"))*100,"")</f>
        <v/>
      </c>
      <c r="AZ24" s="14">
        <f>IFERROR(AVERAGE(IF(ISNUMBER(AR24:AY24),AR24:AY24)),"")</f>
        <v/>
      </c>
      <c r="BA24" s="15">
        <f>IF(AZ24="","",IF(AZ24&gt;=80,"Compliant",IF(AZ24&gt;=50,"Partial","Non-Compliant")))</f>
        <v/>
      </c>
      <c r="BB24" s="11" t="n"/>
    </row>
    <row r="25" ht="15" customHeight="1">
      <c r="A25" s="9" t="n">
        <v>23</v>
      </c>
      <c r="B25" s="10" t="inlineStr">
        <is>
          <t>B2</t>
        </is>
      </c>
      <c r="C25" s="10" t="inlineStr">
        <is>
          <t>B Block</t>
        </is>
      </c>
      <c r="D25" s="11" t="inlineStr">
        <is>
          <t>Vaibhav Tiwari</t>
        </is>
      </c>
      <c r="E25" s="12" t="inlineStr">
        <is>
          <t>26-Sep-2026</t>
        </is>
      </c>
      <c r="F25" s="9" t="inlineStr">
        <is>
          <t>No</t>
        </is>
      </c>
      <c r="G25" s="9" t="inlineStr">
        <is>
          <t>Yes</t>
        </is>
      </c>
      <c r="H25" s="9" t="inlineStr">
        <is>
          <t>Yes</t>
        </is>
      </c>
      <c r="I25" s="9" t="inlineStr">
        <is>
          <t>Yes</t>
        </is>
      </c>
      <c r="J25" s="9" t="inlineStr">
        <is>
          <t>Yes</t>
        </is>
      </c>
      <c r="K25" s="9" t="inlineStr">
        <is>
          <t>Yes</t>
        </is>
      </c>
      <c r="L25" s="9" t="inlineStr">
        <is>
          <t>Yes</t>
        </is>
      </c>
      <c r="M25" s="9" t="inlineStr">
        <is>
          <t>Yes</t>
        </is>
      </c>
      <c r="N25" s="9" t="inlineStr">
        <is>
          <t>No</t>
        </is>
      </c>
      <c r="O25" s="9" t="inlineStr">
        <is>
          <t>Yes</t>
        </is>
      </c>
      <c r="P25" s="9" t="inlineStr">
        <is>
          <t>Yes</t>
        </is>
      </c>
      <c r="Q25" s="9" t="inlineStr">
        <is>
          <t>No</t>
        </is>
      </c>
      <c r="R25" s="9" t="inlineStr">
        <is>
          <t>Yes</t>
        </is>
      </c>
      <c r="S25" s="9" t="inlineStr">
        <is>
          <t>Yes</t>
        </is>
      </c>
      <c r="T25" s="9" t="inlineStr">
        <is>
          <t>Yes</t>
        </is>
      </c>
      <c r="U25" s="9" t="inlineStr">
        <is>
          <t>Partial</t>
        </is>
      </c>
      <c r="V25" s="9" t="inlineStr">
        <is>
          <t>No</t>
        </is>
      </c>
      <c r="W25" s="9" t="inlineStr">
        <is>
          <t>No</t>
        </is>
      </c>
      <c r="X25" s="9" t="inlineStr">
        <is>
          <t>No</t>
        </is>
      </c>
      <c r="Y25" s="9" t="inlineStr">
        <is>
          <t>Yes</t>
        </is>
      </c>
      <c r="Z25" s="9" t="inlineStr">
        <is>
          <t>Yes</t>
        </is>
      </c>
      <c r="AA25" s="9" t="inlineStr">
        <is>
          <t>Yes</t>
        </is>
      </c>
      <c r="AB25" s="9" t="inlineStr">
        <is>
          <t>No</t>
        </is>
      </c>
      <c r="AC25" s="9" t="inlineStr">
        <is>
          <t>Yes</t>
        </is>
      </c>
      <c r="AD25" s="9" t="inlineStr">
        <is>
          <t>Yes</t>
        </is>
      </c>
      <c r="AE25" s="9" t="inlineStr">
        <is>
          <t>No</t>
        </is>
      </c>
      <c r="AF25" s="9" t="inlineStr">
        <is>
          <t>No</t>
        </is>
      </c>
      <c r="AG25" s="9" t="inlineStr">
        <is>
          <t>No</t>
        </is>
      </c>
      <c r="AH25" s="9" t="inlineStr">
        <is>
          <t>Yes</t>
        </is>
      </c>
      <c r="AI25" s="9" t="inlineStr">
        <is>
          <t>No</t>
        </is>
      </c>
      <c r="AJ25" s="9" t="inlineStr">
        <is>
          <t>No</t>
        </is>
      </c>
      <c r="AK25" s="9" t="inlineStr">
        <is>
          <t>No</t>
        </is>
      </c>
      <c r="AL25" s="9" t="inlineStr">
        <is>
          <t>Yes</t>
        </is>
      </c>
      <c r="AM25" s="9" t="inlineStr">
        <is>
          <t>Yes</t>
        </is>
      </c>
      <c r="AN25" s="9" t="inlineStr">
        <is>
          <t>No</t>
        </is>
      </c>
      <c r="AO25" s="9" t="inlineStr">
        <is>
          <t>Yes</t>
        </is>
      </c>
      <c r="AP25" s="9" t="inlineStr">
        <is>
          <t>Partial</t>
        </is>
      </c>
      <c r="AQ25" s="9" t="inlineStr">
        <is>
          <t>Yes</t>
        </is>
      </c>
      <c r="AR25" s="13">
        <f>IFERROR((COUNTIF(F25:K25,"Yes")+0.5*COUNTIF(F25:K25,"Partial"))/(COUNTA(F25:K25)-COUNTIF(F25:K25,"NA"))*100,"")</f>
        <v/>
      </c>
      <c r="AS25" s="13">
        <f>IFERROR((COUNTIF(L25:Q25,"Yes")+0.5*COUNTIF(L25:Q25,"Partial"))/(COUNTA(L25:Q25)-COUNTIF(L25:Q25,"NA"))*100,"")</f>
        <v/>
      </c>
      <c r="AT25" s="13">
        <f>IFERROR((COUNTIF(R25:U25,"Yes")+0.5*COUNTIF(R25:U25,"Partial"))/(COUNTA(R25:U25)-COUNTIF(R25:U25,"NA"))*100,"")</f>
        <v/>
      </c>
      <c r="AU25" s="13">
        <f>IFERROR((COUNTIF(V25:Y25,"Yes")+0.5*COUNTIF(V25:Y25,"Partial"))/(COUNTA(V25:Y25)-COUNTIF(V25:Y25,"NA"))*100,"")</f>
        <v/>
      </c>
      <c r="AV25" s="13">
        <f>IFERROR((COUNTIF(Z25:AE25,"Yes")+0.5*COUNTIF(Z25:AE25,"Partial"))/(COUNTA(Z25:AE25)-COUNTIF(Z25:AE25,"NA"))*100,"")</f>
        <v/>
      </c>
      <c r="AW25" s="13">
        <f>IFERROR((COUNTIF(AF25:AJ25,"Yes")+0.5*COUNTIF(AF25:AJ25,"Partial"))/(COUNTA(AF25:AJ25)-COUNTIF(AF25:AJ25,"NA"))*100,"")</f>
        <v/>
      </c>
      <c r="AX25" s="13">
        <f>IFERROR((COUNTIF(AK25:AM25,"Yes")+0.5*COUNTIF(AK25:AM25,"Partial"))/(COUNTA(AK25:AM25)-COUNTIF(AK25:AM25,"NA"))*100,"")</f>
        <v/>
      </c>
      <c r="AY25" s="13">
        <f>IFERROR((COUNTIF(AN25:AQ25,"Yes")+0.5*COUNTIF(AN25:AQ25,"Partial"))/(COUNTA(AN25:AQ25)-COUNTIF(AN25:AQ25,"NA"))*100,"")</f>
        <v/>
      </c>
      <c r="AZ25" s="14">
        <f>IFERROR(AVERAGE(IF(ISNUMBER(AR25:AY25),AR25:AY25)),"")</f>
        <v/>
      </c>
      <c r="BA25" s="15">
        <f>IF(AZ25="","",IF(AZ25&gt;=80,"Compliant",IF(AZ25&gt;=50,"Partial","Non-Compliant")))</f>
        <v/>
      </c>
      <c r="BB25" s="11" t="n"/>
    </row>
    <row r="26" ht="15" customHeight="1">
      <c r="A26" s="9" t="n">
        <v>24</v>
      </c>
      <c r="B26" s="10" t="inlineStr">
        <is>
          <t>B3</t>
        </is>
      </c>
      <c r="C26" s="10" t="inlineStr">
        <is>
          <t>B Block</t>
        </is>
      </c>
      <c r="D26" s="11" t="inlineStr">
        <is>
          <t>Vaibhav Tiwari</t>
        </is>
      </c>
      <c r="E26" s="12" t="inlineStr">
        <is>
          <t>26-Sep-2026</t>
        </is>
      </c>
      <c r="F26" s="9" t="inlineStr">
        <is>
          <t>No</t>
        </is>
      </c>
      <c r="G26" s="9" t="inlineStr">
        <is>
          <t>Yes</t>
        </is>
      </c>
      <c r="H26" s="9" t="inlineStr">
        <is>
          <t>Yes</t>
        </is>
      </c>
      <c r="I26" s="9" t="inlineStr">
        <is>
          <t>Yes</t>
        </is>
      </c>
      <c r="J26" s="9" t="inlineStr">
        <is>
          <t>Yes</t>
        </is>
      </c>
      <c r="K26" s="9" t="inlineStr">
        <is>
          <t>Yes</t>
        </is>
      </c>
      <c r="L26" s="9" t="inlineStr">
        <is>
          <t>Yes</t>
        </is>
      </c>
      <c r="M26" s="9" t="inlineStr">
        <is>
          <t>Yes</t>
        </is>
      </c>
      <c r="N26" s="9" t="inlineStr">
        <is>
          <t>No</t>
        </is>
      </c>
      <c r="O26" s="9" t="inlineStr">
        <is>
          <t>Yes</t>
        </is>
      </c>
      <c r="P26" s="9" t="inlineStr">
        <is>
          <t>Yes</t>
        </is>
      </c>
      <c r="Q26" s="9" t="inlineStr">
        <is>
          <t>No</t>
        </is>
      </c>
      <c r="R26" s="9" t="inlineStr">
        <is>
          <t>Yes</t>
        </is>
      </c>
      <c r="S26" s="9" t="inlineStr">
        <is>
          <t>Yes</t>
        </is>
      </c>
      <c r="T26" s="9" t="inlineStr">
        <is>
          <t>Yes</t>
        </is>
      </c>
      <c r="U26" s="9" t="inlineStr">
        <is>
          <t>Partial</t>
        </is>
      </c>
      <c r="V26" s="9" t="inlineStr">
        <is>
          <t>No</t>
        </is>
      </c>
      <c r="W26" s="9" t="inlineStr">
        <is>
          <t>No</t>
        </is>
      </c>
      <c r="X26" s="9" t="inlineStr">
        <is>
          <t>No</t>
        </is>
      </c>
      <c r="Y26" s="9" t="inlineStr">
        <is>
          <t>Yes</t>
        </is>
      </c>
      <c r="Z26" s="9" t="inlineStr">
        <is>
          <t>Yes</t>
        </is>
      </c>
      <c r="AA26" s="9" t="inlineStr">
        <is>
          <t>Yes</t>
        </is>
      </c>
      <c r="AB26" s="9" t="inlineStr">
        <is>
          <t>No</t>
        </is>
      </c>
      <c r="AC26" s="9" t="inlineStr">
        <is>
          <t>Yes</t>
        </is>
      </c>
      <c r="AD26" s="9" t="inlineStr">
        <is>
          <t>Yes</t>
        </is>
      </c>
      <c r="AE26" s="9" t="inlineStr">
        <is>
          <t>No</t>
        </is>
      </c>
      <c r="AF26" s="9" t="inlineStr">
        <is>
          <t>No</t>
        </is>
      </c>
      <c r="AG26" s="9" t="inlineStr">
        <is>
          <t>No</t>
        </is>
      </c>
      <c r="AH26" s="9" t="inlineStr">
        <is>
          <t>Yes</t>
        </is>
      </c>
      <c r="AI26" s="9" t="inlineStr">
        <is>
          <t>No</t>
        </is>
      </c>
      <c r="AJ26" s="9" t="inlineStr">
        <is>
          <t>No</t>
        </is>
      </c>
      <c r="AK26" s="9" t="inlineStr">
        <is>
          <t>No</t>
        </is>
      </c>
      <c r="AL26" s="9" t="inlineStr">
        <is>
          <t>Yes</t>
        </is>
      </c>
      <c r="AM26" s="9" t="inlineStr">
        <is>
          <t>Yes</t>
        </is>
      </c>
      <c r="AN26" s="9" t="inlineStr">
        <is>
          <t>No</t>
        </is>
      </c>
      <c r="AO26" s="9" t="inlineStr">
        <is>
          <t>Yes</t>
        </is>
      </c>
      <c r="AP26" s="9" t="inlineStr">
        <is>
          <t>Partial</t>
        </is>
      </c>
      <c r="AQ26" s="9" t="inlineStr">
        <is>
          <t>Yes</t>
        </is>
      </c>
      <c r="AR26" s="13">
        <f>IFERROR((COUNTIF(F26:K26,"Yes")+0.5*COUNTIF(F26:K26,"Partial"))/(COUNTA(F26:K26)-COUNTIF(F26:K26,"NA"))*100,"")</f>
        <v/>
      </c>
      <c r="AS26" s="13">
        <f>IFERROR((COUNTIF(L26:Q26,"Yes")+0.5*COUNTIF(L26:Q26,"Partial"))/(COUNTA(L26:Q26)-COUNTIF(L26:Q26,"NA"))*100,"")</f>
        <v/>
      </c>
      <c r="AT26" s="13">
        <f>IFERROR((COUNTIF(R26:U26,"Yes")+0.5*COUNTIF(R26:U26,"Partial"))/(COUNTA(R26:U26)-COUNTIF(R26:U26,"NA"))*100,"")</f>
        <v/>
      </c>
      <c r="AU26" s="13">
        <f>IFERROR((COUNTIF(V26:Y26,"Yes")+0.5*COUNTIF(V26:Y26,"Partial"))/(COUNTA(V26:Y26)-COUNTIF(V26:Y26,"NA"))*100,"")</f>
        <v/>
      </c>
      <c r="AV26" s="13">
        <f>IFERROR((COUNTIF(Z26:AE26,"Yes")+0.5*COUNTIF(Z26:AE26,"Partial"))/(COUNTA(Z26:AE26)-COUNTIF(Z26:AE26,"NA"))*100,"")</f>
        <v/>
      </c>
      <c r="AW26" s="13">
        <f>IFERROR((COUNTIF(AF26:AJ26,"Yes")+0.5*COUNTIF(AF26:AJ26,"Partial"))/(COUNTA(AF26:AJ26)-COUNTIF(AF26:AJ26,"NA"))*100,"")</f>
        <v/>
      </c>
      <c r="AX26" s="13">
        <f>IFERROR((COUNTIF(AK26:AM26,"Yes")+0.5*COUNTIF(AK26:AM26,"Partial"))/(COUNTA(AK26:AM26)-COUNTIF(AK26:AM26,"NA"))*100,"")</f>
        <v/>
      </c>
      <c r="AY26" s="13">
        <f>IFERROR((COUNTIF(AN26:AQ26,"Yes")+0.5*COUNTIF(AN26:AQ26,"Partial"))/(COUNTA(AN26:AQ26)-COUNTIF(AN26:AQ26,"NA"))*100,"")</f>
        <v/>
      </c>
      <c r="AZ26" s="14">
        <f>IFERROR(AVERAGE(IF(ISNUMBER(AR26:AY26),AR26:AY26)),"")</f>
        <v/>
      </c>
      <c r="BA26" s="15">
        <f>IF(AZ26="","",IF(AZ26&gt;=80,"Compliant",IF(AZ26&gt;=50,"Partial","Non-Compliant")))</f>
        <v/>
      </c>
      <c r="BB26" s="11" t="n"/>
    </row>
    <row r="27">
      <c r="A27" s="9" t="n">
        <v>25</v>
      </c>
      <c r="B27" s="10" t="inlineStr">
        <is>
          <t>B4</t>
        </is>
      </c>
      <c r="C27" s="10" t="inlineStr">
        <is>
          <t>B Block</t>
        </is>
      </c>
      <c r="D27" s="11" t="inlineStr">
        <is>
          <t>Vaibhav Tiwari</t>
        </is>
      </c>
      <c r="E27" s="12" t="inlineStr">
        <is>
          <t>26-Sep-2026</t>
        </is>
      </c>
      <c r="F27" s="9" t="inlineStr">
        <is>
          <t>No</t>
        </is>
      </c>
      <c r="G27" s="9" t="inlineStr">
        <is>
          <t>Yes</t>
        </is>
      </c>
      <c r="H27" s="9" t="inlineStr">
        <is>
          <t>Yes</t>
        </is>
      </c>
      <c r="I27" s="9" t="inlineStr">
        <is>
          <t>Yes</t>
        </is>
      </c>
      <c r="J27" s="9" t="inlineStr">
        <is>
          <t>Yes</t>
        </is>
      </c>
      <c r="K27" s="9" t="inlineStr">
        <is>
          <t>Yes</t>
        </is>
      </c>
      <c r="L27" s="9" t="inlineStr">
        <is>
          <t>Yes</t>
        </is>
      </c>
      <c r="M27" s="9" t="inlineStr">
        <is>
          <t>Yes</t>
        </is>
      </c>
      <c r="N27" s="9" t="inlineStr">
        <is>
          <t>No</t>
        </is>
      </c>
      <c r="O27" s="9" t="inlineStr">
        <is>
          <t>Yes</t>
        </is>
      </c>
      <c r="P27" s="9" t="inlineStr">
        <is>
          <t>Yes</t>
        </is>
      </c>
      <c r="Q27" s="9" t="inlineStr">
        <is>
          <t>No</t>
        </is>
      </c>
      <c r="R27" s="9" t="inlineStr">
        <is>
          <t>Yes</t>
        </is>
      </c>
      <c r="S27" s="9" t="inlineStr">
        <is>
          <t>Yes</t>
        </is>
      </c>
      <c r="T27" s="9" t="inlineStr">
        <is>
          <t>Yes</t>
        </is>
      </c>
      <c r="U27" s="9" t="inlineStr">
        <is>
          <t>Partial</t>
        </is>
      </c>
      <c r="V27" s="9" t="inlineStr">
        <is>
          <t>No</t>
        </is>
      </c>
      <c r="W27" s="9" t="inlineStr">
        <is>
          <t>No</t>
        </is>
      </c>
      <c r="X27" s="9" t="inlineStr">
        <is>
          <t>No</t>
        </is>
      </c>
      <c r="Y27" s="9" t="inlineStr">
        <is>
          <t>Yes</t>
        </is>
      </c>
      <c r="Z27" s="9" t="inlineStr">
        <is>
          <t>Yes</t>
        </is>
      </c>
      <c r="AA27" s="9" t="inlineStr">
        <is>
          <t>Yes</t>
        </is>
      </c>
      <c r="AB27" s="9" t="inlineStr">
        <is>
          <t>No</t>
        </is>
      </c>
      <c r="AC27" s="9" t="inlineStr">
        <is>
          <t>Yes</t>
        </is>
      </c>
      <c r="AD27" s="9" t="inlineStr">
        <is>
          <t>Yes</t>
        </is>
      </c>
      <c r="AE27" s="9" t="inlineStr">
        <is>
          <t>No</t>
        </is>
      </c>
      <c r="AF27" s="9" t="inlineStr">
        <is>
          <t>No</t>
        </is>
      </c>
      <c r="AG27" s="9" t="inlineStr">
        <is>
          <t>No</t>
        </is>
      </c>
      <c r="AH27" s="9" t="inlineStr">
        <is>
          <t>Yes</t>
        </is>
      </c>
      <c r="AI27" s="9" t="inlineStr">
        <is>
          <t>No</t>
        </is>
      </c>
      <c r="AJ27" s="9" t="inlineStr">
        <is>
          <t>No</t>
        </is>
      </c>
      <c r="AK27" s="9" t="inlineStr">
        <is>
          <t>No</t>
        </is>
      </c>
      <c r="AL27" s="9" t="inlineStr">
        <is>
          <t>Yes</t>
        </is>
      </c>
      <c r="AM27" s="9" t="inlineStr">
        <is>
          <t>Yes</t>
        </is>
      </c>
      <c r="AN27" s="9" t="inlineStr">
        <is>
          <t>No</t>
        </is>
      </c>
      <c r="AO27" s="9" t="inlineStr">
        <is>
          <t>Yes</t>
        </is>
      </c>
      <c r="AP27" s="9" t="inlineStr">
        <is>
          <t>Partial</t>
        </is>
      </c>
      <c r="AQ27" s="9" t="inlineStr">
        <is>
          <t>Yes</t>
        </is>
      </c>
      <c r="AR27" s="13">
        <f>IFERROR((COUNTIF(F27:K27,"Yes")+0.5*COUNTIF(F27:K27,"Partial"))/(COUNTA(F27:K27)-COUNTIF(F27:K27,"NA"))*100,"")</f>
        <v/>
      </c>
      <c r="AS27" s="13">
        <f>IFERROR((COUNTIF(L27:Q27,"Yes")+0.5*COUNTIF(L27:Q27,"Partial"))/(COUNTA(L27:Q27)-COUNTIF(L27:Q27,"NA"))*100,"")</f>
        <v/>
      </c>
      <c r="AT27" s="13">
        <f>IFERROR((COUNTIF(R27:U27,"Yes")+0.5*COUNTIF(R27:U27,"Partial"))/(COUNTA(R27:U27)-COUNTIF(R27:U27,"NA"))*100,"")</f>
        <v/>
      </c>
      <c r="AU27" s="13">
        <f>IFERROR((COUNTIF(V27:Y27,"Yes")+0.5*COUNTIF(V27:Y27,"Partial"))/(COUNTA(V27:Y27)-COUNTIF(V27:Y27,"NA"))*100,"")</f>
        <v/>
      </c>
      <c r="AV27" s="13">
        <f>IFERROR((COUNTIF(Z27:AE27,"Yes")+0.5*COUNTIF(Z27:AE27,"Partial"))/(COUNTA(Z27:AE27)-COUNTIF(Z27:AE27,"NA"))*100,"")</f>
        <v/>
      </c>
      <c r="AW27" s="13">
        <f>IFERROR((COUNTIF(AF27:AJ27,"Yes")+0.5*COUNTIF(AF27:AJ27,"Partial"))/(COUNTA(AF27:AJ27)-COUNTIF(AF27:AJ27,"NA"))*100,"")</f>
        <v/>
      </c>
      <c r="AX27" s="13">
        <f>IFERROR((COUNTIF(AK27:AM27,"Yes")+0.5*COUNTIF(AK27:AM27,"Partial"))/(COUNTA(AK27:AM27)-COUNTIF(AK27:AM27,"NA"))*100,"")</f>
        <v/>
      </c>
      <c r="AY27" s="13">
        <f>IFERROR((COUNTIF(AN27:AQ27,"Yes")+0.5*COUNTIF(AN27:AQ27,"Partial"))/(COUNTA(AN27:AQ27)-COUNTIF(AN27:AQ27,"NA"))*100,"")</f>
        <v/>
      </c>
      <c r="AZ27" s="14">
        <f>IFERROR(AVERAGE(IF(ISNUMBER(AR27:AY27),AR27:AY27)),"")</f>
        <v/>
      </c>
      <c r="BA27" s="15">
        <f>IF(AZ27="","",IF(AZ27&gt;=80,"Compliant",IF(AZ27&gt;=50,"Partial","Non-Compliant")))</f>
        <v/>
      </c>
      <c r="BB27" s="11" t="n"/>
    </row>
    <row r="28">
      <c r="A28" s="9" t="n">
        <v>26</v>
      </c>
      <c r="B28" s="10" t="inlineStr">
        <is>
          <t>B5</t>
        </is>
      </c>
      <c r="C28" s="10" t="inlineStr">
        <is>
          <t>B Block</t>
        </is>
      </c>
      <c r="D28" s="11" t="inlineStr">
        <is>
          <t>Vaibhav Tiwari</t>
        </is>
      </c>
      <c r="E28" s="12" t="inlineStr">
        <is>
          <t>26-Sep-2026</t>
        </is>
      </c>
      <c r="F28" s="9" t="inlineStr">
        <is>
          <t>No</t>
        </is>
      </c>
      <c r="G28" s="9" t="inlineStr">
        <is>
          <t>Yes</t>
        </is>
      </c>
      <c r="H28" s="9" t="inlineStr">
        <is>
          <t>Yes</t>
        </is>
      </c>
      <c r="I28" s="9" t="inlineStr">
        <is>
          <t>Yes</t>
        </is>
      </c>
      <c r="J28" s="9" t="inlineStr">
        <is>
          <t>Yes</t>
        </is>
      </c>
      <c r="K28" s="9" t="inlineStr">
        <is>
          <t>Yes</t>
        </is>
      </c>
      <c r="L28" s="9" t="inlineStr">
        <is>
          <t>Yes</t>
        </is>
      </c>
      <c r="M28" s="9" t="inlineStr">
        <is>
          <t>Yes</t>
        </is>
      </c>
      <c r="N28" s="9" t="inlineStr">
        <is>
          <t>No</t>
        </is>
      </c>
      <c r="O28" s="9" t="inlineStr">
        <is>
          <t>Yes</t>
        </is>
      </c>
      <c r="P28" s="9" t="inlineStr">
        <is>
          <t>Yes</t>
        </is>
      </c>
      <c r="Q28" s="9" t="inlineStr">
        <is>
          <t>No</t>
        </is>
      </c>
      <c r="R28" s="9" t="inlineStr">
        <is>
          <t>Yes</t>
        </is>
      </c>
      <c r="S28" s="9" t="inlineStr">
        <is>
          <t>Yes</t>
        </is>
      </c>
      <c r="T28" s="9" t="inlineStr">
        <is>
          <t>Yes</t>
        </is>
      </c>
      <c r="U28" s="9" t="inlineStr">
        <is>
          <t>Partial</t>
        </is>
      </c>
      <c r="V28" s="9" t="inlineStr">
        <is>
          <t>No</t>
        </is>
      </c>
      <c r="W28" s="9" t="inlineStr">
        <is>
          <t>No</t>
        </is>
      </c>
      <c r="X28" s="9" t="inlineStr">
        <is>
          <t>No</t>
        </is>
      </c>
      <c r="Y28" s="9" t="inlineStr">
        <is>
          <t>Yes</t>
        </is>
      </c>
      <c r="Z28" s="9" t="inlineStr">
        <is>
          <t>Yes</t>
        </is>
      </c>
      <c r="AA28" s="9" t="inlineStr">
        <is>
          <t>Yes</t>
        </is>
      </c>
      <c r="AB28" s="9" t="inlineStr">
        <is>
          <t>No</t>
        </is>
      </c>
      <c r="AC28" s="9" t="inlineStr">
        <is>
          <t>Yes</t>
        </is>
      </c>
      <c r="AD28" s="9" t="inlineStr">
        <is>
          <t>Yes</t>
        </is>
      </c>
      <c r="AE28" s="9" t="inlineStr">
        <is>
          <t>No</t>
        </is>
      </c>
      <c r="AF28" s="9" t="inlineStr">
        <is>
          <t>No</t>
        </is>
      </c>
      <c r="AG28" s="9" t="inlineStr">
        <is>
          <t>No</t>
        </is>
      </c>
      <c r="AH28" s="9" t="inlineStr">
        <is>
          <t>Yes</t>
        </is>
      </c>
      <c r="AI28" s="9" t="inlineStr">
        <is>
          <t>No</t>
        </is>
      </c>
      <c r="AJ28" s="9" t="inlineStr">
        <is>
          <t>No</t>
        </is>
      </c>
      <c r="AK28" s="9" t="inlineStr">
        <is>
          <t>No</t>
        </is>
      </c>
      <c r="AL28" s="9" t="inlineStr">
        <is>
          <t>Yes</t>
        </is>
      </c>
      <c r="AM28" s="9" t="inlineStr">
        <is>
          <t>Yes</t>
        </is>
      </c>
      <c r="AN28" s="9" t="inlineStr">
        <is>
          <t>No</t>
        </is>
      </c>
      <c r="AO28" s="9" t="inlineStr">
        <is>
          <t>Yes</t>
        </is>
      </c>
      <c r="AP28" s="9" t="inlineStr">
        <is>
          <t>Partial</t>
        </is>
      </c>
      <c r="AQ28" s="9" t="inlineStr">
        <is>
          <t>Yes</t>
        </is>
      </c>
      <c r="AR28" s="13">
        <f>IFERROR((COUNTIF(F28:K28,"Yes")+0.5*COUNTIF(F28:K28,"Partial"))/(COUNTA(F28:K28)-COUNTIF(F28:K28,"NA"))*100,"")</f>
        <v/>
      </c>
      <c r="AS28" s="13">
        <f>IFERROR((COUNTIF(L28:Q28,"Yes")+0.5*COUNTIF(L28:Q28,"Partial"))/(COUNTA(L28:Q28)-COUNTIF(L28:Q28,"NA"))*100,"")</f>
        <v/>
      </c>
      <c r="AT28" s="13">
        <f>IFERROR((COUNTIF(R28:U28,"Yes")+0.5*COUNTIF(R28:U28,"Partial"))/(COUNTA(R28:U28)-COUNTIF(R28:U28,"NA"))*100,"")</f>
        <v/>
      </c>
      <c r="AU28" s="13">
        <f>IFERROR((COUNTIF(V28:Y28,"Yes")+0.5*COUNTIF(V28:Y28,"Partial"))/(COUNTA(V28:Y28)-COUNTIF(V28:Y28,"NA"))*100,"")</f>
        <v/>
      </c>
      <c r="AV28" s="13">
        <f>IFERROR((COUNTIF(Z28:AE28,"Yes")+0.5*COUNTIF(Z28:AE28,"Partial"))/(COUNTA(Z28:AE28)-COUNTIF(Z28:AE28,"NA"))*100,"")</f>
        <v/>
      </c>
      <c r="AW28" s="13">
        <f>IFERROR((COUNTIF(AF28:AJ28,"Yes")+0.5*COUNTIF(AF28:AJ28,"Partial"))/(COUNTA(AF28:AJ28)-COUNTIF(AF28:AJ28,"NA"))*100,"")</f>
        <v/>
      </c>
      <c r="AX28" s="13">
        <f>IFERROR((COUNTIF(AK28:AM28,"Yes")+0.5*COUNTIF(AK28:AM28,"Partial"))/(COUNTA(AK28:AM28)-COUNTIF(AK28:AM28,"NA"))*100,"")</f>
        <v/>
      </c>
      <c r="AY28" s="13">
        <f>IFERROR((COUNTIF(AN28:AQ28,"Yes")+0.5*COUNTIF(AN28:AQ28,"Partial"))/(COUNTA(AN28:AQ28)-COUNTIF(AN28:AQ28,"NA"))*100,"")</f>
        <v/>
      </c>
      <c r="AZ28" s="14">
        <f>IFERROR(AVERAGE(IF(ISNUMBER(AR28:AY28),AR28:AY28)),"")</f>
        <v/>
      </c>
      <c r="BA28" s="15">
        <f>IF(AZ28="","",IF(AZ28&gt;=80,"Compliant",IF(AZ28&gt;=50,"Partial","Non-Compliant")))</f>
        <v/>
      </c>
      <c r="BB28" s="11" t="n"/>
    </row>
    <row r="29" ht="15" customHeight="1">
      <c r="A29" s="9" t="n">
        <v>27</v>
      </c>
      <c r="B29" s="10" t="inlineStr">
        <is>
          <t>A1</t>
        </is>
      </c>
      <c r="C29" s="10" t="inlineStr">
        <is>
          <t>A Block</t>
        </is>
      </c>
      <c r="D29" s="11" t="inlineStr">
        <is>
          <t>Vaibhav Tiwari</t>
        </is>
      </c>
      <c r="E29" s="12" t="inlineStr">
        <is>
          <t>26-Sep-2026</t>
        </is>
      </c>
      <c r="F29" s="9" t="inlineStr">
        <is>
          <t>No</t>
        </is>
      </c>
      <c r="G29" s="9" t="inlineStr">
        <is>
          <t>Yes</t>
        </is>
      </c>
      <c r="H29" s="9" t="inlineStr">
        <is>
          <t>Yes</t>
        </is>
      </c>
      <c r="I29" s="9" t="inlineStr">
        <is>
          <t>Yes</t>
        </is>
      </c>
      <c r="J29" s="9" t="inlineStr">
        <is>
          <t>Yes</t>
        </is>
      </c>
      <c r="K29" s="9" t="inlineStr">
        <is>
          <t>Yes</t>
        </is>
      </c>
      <c r="L29" s="9" t="inlineStr">
        <is>
          <t>Yes</t>
        </is>
      </c>
      <c r="M29" s="9" t="inlineStr">
        <is>
          <t>Yes</t>
        </is>
      </c>
      <c r="N29" s="9" t="inlineStr">
        <is>
          <t>Yes</t>
        </is>
      </c>
      <c r="O29" s="9" t="inlineStr">
        <is>
          <t>Yes</t>
        </is>
      </c>
      <c r="P29" s="9" t="inlineStr">
        <is>
          <t>Yes</t>
        </is>
      </c>
      <c r="Q29" s="9" t="inlineStr">
        <is>
          <t>Yes</t>
        </is>
      </c>
      <c r="R29" s="9" t="inlineStr">
        <is>
          <t>Yes</t>
        </is>
      </c>
      <c r="S29" s="9" t="inlineStr">
        <is>
          <t>Yes</t>
        </is>
      </c>
      <c r="T29" s="9" t="inlineStr">
        <is>
          <t>Yes</t>
        </is>
      </c>
      <c r="U29" s="9" t="inlineStr">
        <is>
          <t>Yes</t>
        </is>
      </c>
      <c r="V29" s="9" t="inlineStr">
        <is>
          <t>Yes</t>
        </is>
      </c>
      <c r="W29" s="9" t="inlineStr">
        <is>
          <t>Yes</t>
        </is>
      </c>
      <c r="X29" s="9" t="inlineStr">
        <is>
          <t>Yes</t>
        </is>
      </c>
      <c r="Y29" s="9" t="inlineStr">
        <is>
          <t>Yes</t>
        </is>
      </c>
      <c r="Z29" s="9" t="inlineStr">
        <is>
          <t>Yes</t>
        </is>
      </c>
      <c r="AA29" s="9" t="inlineStr">
        <is>
          <t>Yes</t>
        </is>
      </c>
      <c r="AB29" s="9" t="inlineStr">
        <is>
          <t>Yes</t>
        </is>
      </c>
      <c r="AC29" s="9" t="inlineStr">
        <is>
          <t>Yes</t>
        </is>
      </c>
      <c r="AD29" s="9" t="inlineStr">
        <is>
          <t>Yes</t>
        </is>
      </c>
      <c r="AE29" s="9" t="inlineStr">
        <is>
          <t>Yes</t>
        </is>
      </c>
      <c r="AF29" s="9" t="inlineStr">
        <is>
          <t>Yes</t>
        </is>
      </c>
      <c r="AG29" s="9" t="inlineStr">
        <is>
          <t>Yes</t>
        </is>
      </c>
      <c r="AH29" s="9" t="inlineStr">
        <is>
          <t>Yes</t>
        </is>
      </c>
      <c r="AI29" s="9" t="inlineStr">
        <is>
          <t>Yes</t>
        </is>
      </c>
      <c r="AJ29" s="9" t="inlineStr">
        <is>
          <t>Partial</t>
        </is>
      </c>
      <c r="AK29" s="9" t="inlineStr">
        <is>
          <t>Yes</t>
        </is>
      </c>
      <c r="AL29" s="9" t="inlineStr">
        <is>
          <t>Yes</t>
        </is>
      </c>
      <c r="AM29" s="9" t="inlineStr">
        <is>
          <t>Yes</t>
        </is>
      </c>
      <c r="AN29" s="9" t="inlineStr">
        <is>
          <t>Yes</t>
        </is>
      </c>
      <c r="AO29" s="9" t="inlineStr">
        <is>
          <t>Yes</t>
        </is>
      </c>
      <c r="AP29" s="9" t="inlineStr">
        <is>
          <t>Yes</t>
        </is>
      </c>
      <c r="AQ29" s="9" t="inlineStr">
        <is>
          <t>Yes</t>
        </is>
      </c>
      <c r="AR29" s="13">
        <f>IFERROR((COUNTIF(F29:K29,"Yes")+0.5*COUNTIF(F29:K29,"Partial"))/(COUNTA(F29:K29)-COUNTIF(F29:K29,"NA"))*100,"")</f>
        <v/>
      </c>
      <c r="AS29" s="13">
        <f>IFERROR((COUNTIF(L29:Q29,"Yes")+0.5*COUNTIF(L29:Q29,"Partial"))/(COUNTA(L29:Q29)-COUNTIF(L29:Q29,"NA"))*100,"")</f>
        <v/>
      </c>
      <c r="AT29" s="13">
        <f>IFERROR((COUNTIF(R29:U29,"Yes")+0.5*COUNTIF(R29:U29,"Partial"))/(COUNTA(R29:U29)-COUNTIF(R29:U29,"NA"))*100,"")</f>
        <v/>
      </c>
      <c r="AU29" s="13">
        <f>IFERROR((COUNTIF(V29:Y29,"Yes")+0.5*COUNTIF(V29:Y29,"Partial"))/(COUNTA(V29:Y29)-COUNTIF(V29:Y29,"NA"))*100,"")</f>
        <v/>
      </c>
      <c r="AV29" s="13">
        <f>IFERROR((COUNTIF(Z29:AE29,"Yes")+0.5*COUNTIF(Z29:AE29,"Partial"))/(COUNTA(Z29:AE29)-COUNTIF(Z29:AE29,"NA"))*100,"")</f>
        <v/>
      </c>
      <c r="AW29" s="13">
        <f>IFERROR((COUNTIF(AF29:AJ29,"Yes")+0.5*COUNTIF(AF29:AJ29,"Partial"))/(COUNTA(AF29:AJ29)-COUNTIF(AF29:AJ29,"NA"))*100,"")</f>
        <v/>
      </c>
      <c r="AX29" s="13">
        <f>IFERROR((COUNTIF(AK29:AM29,"Yes")+0.5*COUNTIF(AK29:AM29,"Partial"))/(COUNTA(AK29:AM29)-COUNTIF(AK29:AM29,"NA"))*100,"")</f>
        <v/>
      </c>
      <c r="AY29" s="13">
        <f>IFERROR((COUNTIF(AN29:AQ29,"Yes")+0.5*COUNTIF(AN29:AQ29,"Partial"))/(COUNTA(AN29:AQ29)-COUNTIF(AN29:AQ29,"NA"))*100,"")</f>
        <v/>
      </c>
      <c r="AZ29" s="14">
        <f>IFERROR(AVERAGE(IF(ISNUMBER(AR29:AY29),AR29:AY29)),"")</f>
        <v/>
      </c>
      <c r="BA29" s="15">
        <f>IF(AZ29="","",IF(AZ29&gt;=80,"Compliant",IF(AZ29&gt;=50,"Partial","Non-Compliant")))</f>
        <v/>
      </c>
      <c r="BB29" s="11" t="n"/>
    </row>
    <row r="30" ht="15" customHeight="1">
      <c r="A30" s="9" t="n">
        <v>28</v>
      </c>
      <c r="B30" s="10" t="inlineStr">
        <is>
          <t>A2</t>
        </is>
      </c>
      <c r="C30" s="10" t="inlineStr">
        <is>
          <t>A Block</t>
        </is>
      </c>
      <c r="D30" s="11" t="inlineStr">
        <is>
          <t>Vaibhav Tiwari</t>
        </is>
      </c>
      <c r="E30" s="12" t="inlineStr">
        <is>
          <t>26-Sep-2026</t>
        </is>
      </c>
      <c r="F30" s="9" t="inlineStr">
        <is>
          <t>No</t>
        </is>
      </c>
      <c r="G30" s="9" t="inlineStr">
        <is>
          <t>Yes</t>
        </is>
      </c>
      <c r="H30" s="9" t="inlineStr">
        <is>
          <t>Yes</t>
        </is>
      </c>
      <c r="I30" s="9" t="inlineStr">
        <is>
          <t>Yes</t>
        </is>
      </c>
      <c r="J30" s="9" t="inlineStr">
        <is>
          <t>Yes</t>
        </is>
      </c>
      <c r="K30" s="9" t="inlineStr">
        <is>
          <t>Yes</t>
        </is>
      </c>
      <c r="L30" s="9" t="inlineStr">
        <is>
          <t>Yes</t>
        </is>
      </c>
      <c r="M30" s="9" t="inlineStr">
        <is>
          <t>Yes</t>
        </is>
      </c>
      <c r="N30" s="9" t="inlineStr">
        <is>
          <t>Yes</t>
        </is>
      </c>
      <c r="O30" s="9" t="inlineStr">
        <is>
          <t>Yes</t>
        </is>
      </c>
      <c r="P30" s="9" t="inlineStr">
        <is>
          <t>Yes</t>
        </is>
      </c>
      <c r="Q30" s="9" t="inlineStr">
        <is>
          <t>Yes</t>
        </is>
      </c>
      <c r="R30" s="9" t="inlineStr">
        <is>
          <t>Yes</t>
        </is>
      </c>
      <c r="S30" s="9" t="inlineStr">
        <is>
          <t>Yes</t>
        </is>
      </c>
      <c r="T30" s="9" t="inlineStr">
        <is>
          <t>Yes</t>
        </is>
      </c>
      <c r="U30" s="9" t="inlineStr">
        <is>
          <t>Yes</t>
        </is>
      </c>
      <c r="V30" s="9" t="inlineStr">
        <is>
          <t>Yes</t>
        </is>
      </c>
      <c r="W30" s="9" t="inlineStr">
        <is>
          <t>Yes</t>
        </is>
      </c>
      <c r="X30" s="9" t="inlineStr">
        <is>
          <t>Yes</t>
        </is>
      </c>
      <c r="Y30" s="9" t="inlineStr">
        <is>
          <t>Yes</t>
        </is>
      </c>
      <c r="Z30" s="9" t="inlineStr">
        <is>
          <t>Yes</t>
        </is>
      </c>
      <c r="AA30" s="9" t="inlineStr">
        <is>
          <t>Yes</t>
        </is>
      </c>
      <c r="AB30" s="9" t="inlineStr">
        <is>
          <t>Yes</t>
        </is>
      </c>
      <c r="AC30" s="9" t="inlineStr">
        <is>
          <t>Yes</t>
        </is>
      </c>
      <c r="AD30" s="9" t="inlineStr">
        <is>
          <t>Yes</t>
        </is>
      </c>
      <c r="AE30" s="9" t="inlineStr">
        <is>
          <t>Yes</t>
        </is>
      </c>
      <c r="AF30" s="9" t="inlineStr">
        <is>
          <t>Yes</t>
        </is>
      </c>
      <c r="AG30" s="9" t="inlineStr">
        <is>
          <t>Yes</t>
        </is>
      </c>
      <c r="AH30" s="9" t="inlineStr">
        <is>
          <t>Yes</t>
        </is>
      </c>
      <c r="AI30" s="9" t="inlineStr">
        <is>
          <t>Yes</t>
        </is>
      </c>
      <c r="AJ30" s="9" t="inlineStr">
        <is>
          <t>Partial</t>
        </is>
      </c>
      <c r="AK30" s="9" t="inlineStr">
        <is>
          <t>Yes</t>
        </is>
      </c>
      <c r="AL30" s="9" t="inlineStr">
        <is>
          <t>Yes</t>
        </is>
      </c>
      <c r="AM30" s="9" t="inlineStr">
        <is>
          <t>Yes</t>
        </is>
      </c>
      <c r="AN30" s="9" t="inlineStr">
        <is>
          <t>Yes</t>
        </is>
      </c>
      <c r="AO30" s="9" t="inlineStr">
        <is>
          <t>Yes</t>
        </is>
      </c>
      <c r="AP30" s="9" t="inlineStr">
        <is>
          <t>Yes</t>
        </is>
      </c>
      <c r="AQ30" s="9" t="inlineStr">
        <is>
          <t>Yes</t>
        </is>
      </c>
      <c r="AR30" s="13">
        <f>IFERROR((COUNTIF(F30:K30,"Yes")+0.5*COUNTIF(F30:K30,"Partial"))/(COUNTA(F30:K30)-COUNTIF(F30:K30,"NA"))*100,"")</f>
        <v/>
      </c>
      <c r="AS30" s="13">
        <f>IFERROR((COUNTIF(L30:Q30,"Yes")+0.5*COUNTIF(L30:Q30,"Partial"))/(COUNTA(L30:Q30)-COUNTIF(L30:Q30,"NA"))*100,"")</f>
        <v/>
      </c>
      <c r="AT30" s="13">
        <f>IFERROR((COUNTIF(R30:U30,"Yes")+0.5*COUNTIF(R30:U30,"Partial"))/(COUNTA(R30:U30)-COUNTIF(R30:U30,"NA"))*100,"")</f>
        <v/>
      </c>
      <c r="AU30" s="13">
        <f>IFERROR((COUNTIF(V30:Y30,"Yes")+0.5*COUNTIF(V30:Y30,"Partial"))/(COUNTA(V30:Y30)-COUNTIF(V30:Y30,"NA"))*100,"")</f>
        <v/>
      </c>
      <c r="AV30" s="13">
        <f>IFERROR((COUNTIF(Z30:AE30,"Yes")+0.5*COUNTIF(Z30:AE30,"Partial"))/(COUNTA(Z30:AE30)-COUNTIF(Z30:AE30,"NA"))*100,"")</f>
        <v/>
      </c>
      <c r="AW30" s="13">
        <f>IFERROR((COUNTIF(AF30:AJ30,"Yes")+0.5*COUNTIF(AF30:AJ30,"Partial"))/(COUNTA(AF30:AJ30)-COUNTIF(AF30:AJ30,"NA"))*100,"")</f>
        <v/>
      </c>
      <c r="AX30" s="13">
        <f>IFERROR((COUNTIF(AK30:AM30,"Yes")+0.5*COUNTIF(AK30:AM30,"Partial"))/(COUNTA(AK30:AM30)-COUNTIF(AK30:AM30,"NA"))*100,"")</f>
        <v/>
      </c>
      <c r="AY30" s="13">
        <f>IFERROR((COUNTIF(AN30:AQ30,"Yes")+0.5*COUNTIF(AN30:AQ30,"Partial"))/(COUNTA(AN30:AQ30)-COUNTIF(AN30:AQ30,"NA"))*100,"")</f>
        <v/>
      </c>
      <c r="AZ30" s="14">
        <f>IFERROR(AVERAGE(IF(ISNUMBER(AR30:AY30),AR30:AY30)),"")</f>
        <v/>
      </c>
      <c r="BA30" s="15">
        <f>IF(AZ30="","",IF(AZ30&gt;=80,"Compliant",IF(AZ30&gt;=50,"Partial","Non-Compliant")))</f>
        <v/>
      </c>
      <c r="BB30" s="11" t="n"/>
    </row>
    <row r="31">
      <c r="A31" s="9" t="n">
        <v>29</v>
      </c>
      <c r="B31" s="10" t="inlineStr">
        <is>
          <t>A3</t>
        </is>
      </c>
      <c r="C31" s="10" t="inlineStr">
        <is>
          <t>A Block</t>
        </is>
      </c>
      <c r="D31" s="11" t="inlineStr">
        <is>
          <t>Vaibhav Tiwari</t>
        </is>
      </c>
      <c r="E31" s="12" t="inlineStr">
        <is>
          <t>26-Sep-2026</t>
        </is>
      </c>
      <c r="F31" s="9" t="inlineStr">
        <is>
          <t>No</t>
        </is>
      </c>
      <c r="G31" s="9" t="inlineStr">
        <is>
          <t>Yes</t>
        </is>
      </c>
      <c r="H31" s="9" t="inlineStr">
        <is>
          <t>Yes</t>
        </is>
      </c>
      <c r="I31" s="9" t="inlineStr">
        <is>
          <t>Yes</t>
        </is>
      </c>
      <c r="J31" s="9" t="inlineStr">
        <is>
          <t>Yes</t>
        </is>
      </c>
      <c r="K31" s="9" t="inlineStr">
        <is>
          <t>Yes</t>
        </is>
      </c>
      <c r="L31" s="9" t="inlineStr">
        <is>
          <t>Yes</t>
        </is>
      </c>
      <c r="M31" s="9" t="inlineStr">
        <is>
          <t>Yes</t>
        </is>
      </c>
      <c r="N31" s="9" t="inlineStr">
        <is>
          <t>Yes</t>
        </is>
      </c>
      <c r="O31" s="9" t="inlineStr">
        <is>
          <t>Yes</t>
        </is>
      </c>
      <c r="P31" s="9" t="inlineStr">
        <is>
          <t>Yes</t>
        </is>
      </c>
      <c r="Q31" s="9" t="inlineStr">
        <is>
          <t>Yes</t>
        </is>
      </c>
      <c r="R31" s="9" t="inlineStr">
        <is>
          <t>Yes</t>
        </is>
      </c>
      <c r="S31" s="9" t="inlineStr">
        <is>
          <t>Yes</t>
        </is>
      </c>
      <c r="T31" s="9" t="inlineStr">
        <is>
          <t>Yes</t>
        </is>
      </c>
      <c r="U31" s="9" t="inlineStr">
        <is>
          <t>Yes</t>
        </is>
      </c>
      <c r="V31" s="9" t="inlineStr">
        <is>
          <t>Yes</t>
        </is>
      </c>
      <c r="W31" s="9" t="inlineStr">
        <is>
          <t>Yes</t>
        </is>
      </c>
      <c r="X31" s="9" t="inlineStr">
        <is>
          <t>Yes</t>
        </is>
      </c>
      <c r="Y31" s="9" t="inlineStr">
        <is>
          <t>Yes</t>
        </is>
      </c>
      <c r="Z31" s="9" t="inlineStr">
        <is>
          <t>Yes</t>
        </is>
      </c>
      <c r="AA31" s="9" t="inlineStr">
        <is>
          <t>Yes</t>
        </is>
      </c>
      <c r="AB31" s="9" t="inlineStr">
        <is>
          <t>Yes</t>
        </is>
      </c>
      <c r="AC31" s="9" t="inlineStr">
        <is>
          <t>Yes</t>
        </is>
      </c>
      <c r="AD31" s="9" t="inlineStr">
        <is>
          <t>Yes</t>
        </is>
      </c>
      <c r="AE31" s="9" t="inlineStr">
        <is>
          <t>Yes</t>
        </is>
      </c>
      <c r="AF31" s="9" t="inlineStr">
        <is>
          <t>Yes</t>
        </is>
      </c>
      <c r="AG31" s="9" t="inlineStr">
        <is>
          <t>Yes</t>
        </is>
      </c>
      <c r="AH31" s="9" t="inlineStr">
        <is>
          <t>Yes</t>
        </is>
      </c>
      <c r="AI31" s="9" t="inlineStr">
        <is>
          <t>Yes</t>
        </is>
      </c>
      <c r="AJ31" s="9" t="inlineStr">
        <is>
          <t>Partial</t>
        </is>
      </c>
      <c r="AK31" s="9" t="inlineStr">
        <is>
          <t>Yes</t>
        </is>
      </c>
      <c r="AL31" s="9" t="inlineStr">
        <is>
          <t>Yes</t>
        </is>
      </c>
      <c r="AM31" s="9" t="inlineStr">
        <is>
          <t>Yes</t>
        </is>
      </c>
      <c r="AN31" s="9" t="inlineStr">
        <is>
          <t>Yes</t>
        </is>
      </c>
      <c r="AO31" s="9" t="inlineStr">
        <is>
          <t>Yes</t>
        </is>
      </c>
      <c r="AP31" s="9" t="inlineStr">
        <is>
          <t>Yes</t>
        </is>
      </c>
      <c r="AQ31" s="9" t="inlineStr">
        <is>
          <t>Yes</t>
        </is>
      </c>
      <c r="AR31" s="13">
        <f>IFERROR((COUNTIF(F31:K31,"Yes")+0.5*COUNTIF(F31:K31,"Partial"))/(COUNTA(F31:K31)-COUNTIF(F31:K31,"NA"))*100,"")</f>
        <v/>
      </c>
      <c r="AS31" s="13">
        <f>IFERROR((COUNTIF(L31:Q31,"Yes")+0.5*COUNTIF(L31:Q31,"Partial"))/(COUNTA(L31:Q31)-COUNTIF(L31:Q31,"NA"))*100,"")</f>
        <v/>
      </c>
      <c r="AT31" s="13">
        <f>IFERROR((COUNTIF(R31:U31,"Yes")+0.5*COUNTIF(R31:U31,"Partial"))/(COUNTA(R31:U31)-COUNTIF(R31:U31,"NA"))*100,"")</f>
        <v/>
      </c>
      <c r="AU31" s="13">
        <f>IFERROR((COUNTIF(V31:Y31,"Yes")+0.5*COUNTIF(V31:Y31,"Partial"))/(COUNTA(V31:Y31)-COUNTIF(V31:Y31,"NA"))*100,"")</f>
        <v/>
      </c>
      <c r="AV31" s="13">
        <f>IFERROR((COUNTIF(Z31:AE31,"Yes")+0.5*COUNTIF(Z31:AE31,"Partial"))/(COUNTA(Z31:AE31)-COUNTIF(Z31:AE31,"NA"))*100,"")</f>
        <v/>
      </c>
      <c r="AW31" s="13">
        <f>IFERROR((COUNTIF(AF31:AJ31,"Yes")+0.5*COUNTIF(AF31:AJ31,"Partial"))/(COUNTA(AF31:AJ31)-COUNTIF(AF31:AJ31,"NA"))*100,"")</f>
        <v/>
      </c>
      <c r="AX31" s="13">
        <f>IFERROR((COUNTIF(AK31:AM31,"Yes")+0.5*COUNTIF(AK31:AM31,"Partial"))/(COUNTA(AK31:AM31)-COUNTIF(AK31:AM31,"NA"))*100,"")</f>
        <v/>
      </c>
      <c r="AY31" s="13">
        <f>IFERROR((COUNTIF(AN31:AQ31,"Yes")+0.5*COUNTIF(AN31:AQ31,"Partial"))/(COUNTA(AN31:AQ31)-COUNTIF(AN31:AQ31,"NA"))*100,"")</f>
        <v/>
      </c>
      <c r="AZ31" s="14">
        <f>IFERROR(AVERAGE(IF(ISNUMBER(AR31:AY31),AR31:AY31)),"")</f>
        <v/>
      </c>
      <c r="BA31" s="15">
        <f>IF(AZ31="","",IF(AZ31&gt;=80,"Compliant",IF(AZ31&gt;=50,"Partial","Non-Compliant")))</f>
        <v/>
      </c>
      <c r="BB31" s="11" t="n"/>
    </row>
    <row r="1048576">
      <c r="D1048576" s="11" t="inlineStr">
        <is>
          <t>Vaibhav Tiwari</t>
        </is>
      </c>
    </row>
  </sheetData>
  <mergeCells count="24">
    <mergeCell ref="AU1:AU2"/>
    <mergeCell ref="C1:C2"/>
    <mergeCell ref="E1:E2"/>
    <mergeCell ref="BB1:BB2"/>
    <mergeCell ref="L1:Q1"/>
    <mergeCell ref="AK1:AM1"/>
    <mergeCell ref="R1:U1"/>
    <mergeCell ref="B1:B2"/>
    <mergeCell ref="AW1:AW2"/>
    <mergeCell ref="AY1:AY2"/>
    <mergeCell ref="Z1:AE1"/>
    <mergeCell ref="F1:K1"/>
    <mergeCell ref="V1:Y1"/>
    <mergeCell ref="AN1:AQ1"/>
    <mergeCell ref="AR1:AR2"/>
    <mergeCell ref="BA1:BA2"/>
    <mergeCell ref="AT1:AT2"/>
    <mergeCell ref="AV1:AV2"/>
    <mergeCell ref="AX1:AX2"/>
    <mergeCell ref="AZ1:AZ2"/>
    <mergeCell ref="AF1:AJ1"/>
    <mergeCell ref="D1:D2"/>
    <mergeCell ref="AS1:AS2"/>
    <mergeCell ref="A1:A2"/>
  </mergeCells>
  <conditionalFormatting sqref="F3:AQ31">
    <cfRule type="cellIs" priority="7" operator="equal" dxfId="2">
      <formula>"Yes"</formula>
    </cfRule>
    <cfRule type="cellIs" priority="8" operator="equal" dxfId="1">
      <formula>"Partial"</formula>
    </cfRule>
    <cfRule type="cellIs" priority="9" operator="equal" dxfId="0">
      <formula>"No"</formula>
    </cfRule>
  </conditionalFormatting>
  <conditionalFormatting sqref="AR3:AZ31">
    <cfRule type="cellIs" priority="1" operator="greaterThanOrEqual" dxfId="2">
      <formula>80</formula>
    </cfRule>
    <cfRule type="cellIs" priority="2" operator="between" dxfId="1">
      <formula>50</formula>
      <formula>79.9</formula>
    </cfRule>
    <cfRule type="cellIs" priority="3" operator="lessThan" dxfId="0">
      <formula>50</formula>
    </cfRule>
  </conditionalFormatting>
  <conditionalFormatting sqref="BA3:BA31">
    <cfRule type="cellIs" priority="4" operator="equal" dxfId="2">
      <formula>"Compliant"</formula>
    </cfRule>
    <cfRule type="cellIs" priority="5" operator="equal" dxfId="1">
      <formula>"Partial"</formula>
    </cfRule>
    <cfRule type="cellIs" priority="6" operator="equal" dxfId="0">
      <formula>"Non-Compliant"</formula>
    </cfRule>
  </conditionalFormatting>
  <dataValidations count="2">
    <dataValidation sqref="E3:E31" showDropDown="0" showInputMessage="0" showErrorMessage="0" allowBlank="1" error="Please enter a valid date" type="date"/>
    <dataValidation sqref="F3:AQ31" showDropDown="0" showInputMessage="0" showErrorMessage="0" allowBlank="1" errorTitle="Invalid Entry" error="Please select: Yes, No, Partial, or NA" promptTitle="Select Response" prompt="Yes = Available &amp; working_x000a_No = Not available_x000a_Partial = Available but damaged/incomplete_x000a_NA = Not applicable" type="list">
      <formula1>"Yes,No,Partial,NA"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M30"/>
  <sheetViews>
    <sheetView workbookViewId="0">
      <pane xSplit="3" ySplit="1" topLeftCell="D2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4.45" outlineLevelCol="0"/>
  <cols>
    <col width="5" customWidth="1" min="1" max="1"/>
    <col width="16" customWidth="1" min="2" max="2"/>
    <col width="20" customWidth="1" min="3" max="3"/>
    <col width="22" customWidth="1" min="4" max="13"/>
  </cols>
  <sheetData>
    <row r="1" ht="28.9" customHeight="1">
      <c r="A1" s="25" t="inlineStr">
        <is>
          <t>S.No</t>
        </is>
      </c>
      <c r="B1" s="25" t="inlineStr">
        <is>
          <t>Building</t>
        </is>
      </c>
      <c r="C1" s="25" t="inlineStr">
        <is>
          <t>Block</t>
        </is>
      </c>
      <c r="D1" s="25" t="inlineStr">
        <is>
          <t>Entrance &amp; Approach</t>
        </is>
      </c>
      <c r="E1" s="25" t="inlineStr">
        <is>
          <t>Lifts &amp; Stairs</t>
        </is>
      </c>
      <c r="F1" s="25" t="inlineStr">
        <is>
          <t>Corridors &amp; Pathways</t>
        </is>
      </c>
      <c r="G1" s="25" t="inlineStr">
        <is>
          <t>Signage &amp; Wayfinding</t>
        </is>
      </c>
      <c r="H1" s="25" t="inlineStr">
        <is>
          <t>Washroom Accessibility</t>
        </is>
      </c>
      <c r="I1" s="25" t="inlineStr">
        <is>
          <t>Emergency &amp; Safety</t>
        </is>
      </c>
      <c r="J1" s="25" t="inlineStr">
        <is>
          <t>Classroom &amp; Furniture</t>
        </is>
      </c>
      <c r="K1" s="25" t="inlineStr">
        <is>
          <t>External &amp; Common Facilities</t>
        </is>
      </c>
      <c r="L1" s="25" t="inlineStr">
        <is>
          <t>Overall %</t>
        </is>
      </c>
      <c r="M1" s="25" t="inlineStr">
        <is>
          <t>Compliance</t>
        </is>
      </c>
    </row>
    <row r="2">
      <c r="A2" s="9" t="n">
        <v>1</v>
      </c>
      <c r="B2" s="16" t="inlineStr">
        <is>
          <t>Zakir A</t>
        </is>
      </c>
      <c r="C2" s="16" t="inlineStr">
        <is>
          <t>Zakir Husain Block</t>
        </is>
      </c>
      <c r="D2" s="17">
        <f>'Raw Audit Data'!AR3</f>
        <v/>
      </c>
      <c r="E2" s="17">
        <f>'Raw Audit Data'!AS3</f>
        <v/>
      </c>
      <c r="F2" s="17">
        <f>'Raw Audit Data'!AT3</f>
        <v/>
      </c>
      <c r="G2" s="17">
        <f>'Raw Audit Data'!AU3</f>
        <v/>
      </c>
      <c r="H2" s="17">
        <f>'Raw Audit Data'!AV3</f>
        <v/>
      </c>
      <c r="I2" s="17">
        <f>'Raw Audit Data'!AW3</f>
        <v/>
      </c>
      <c r="J2" s="17">
        <f>'Raw Audit Data'!AX3</f>
        <v/>
      </c>
      <c r="K2" s="17">
        <f>'Raw Audit Data'!AY3</f>
        <v/>
      </c>
      <c r="L2" s="14">
        <f>'Raw Audit Data'!AZ3</f>
        <v/>
      </c>
      <c r="M2" s="15">
        <f>'Raw Audit Data'!BA3</f>
        <v/>
      </c>
    </row>
    <row r="3">
      <c r="A3" s="9" t="n">
        <v>2</v>
      </c>
      <c r="B3" s="16" t="inlineStr">
        <is>
          <t>Zakir B</t>
        </is>
      </c>
      <c r="C3" s="16" t="inlineStr">
        <is>
          <t>Zakir Husain Block</t>
        </is>
      </c>
      <c r="D3" s="17">
        <f>'Raw Audit Data'!AR4</f>
        <v/>
      </c>
      <c r="E3" s="17">
        <f>'Raw Audit Data'!AS4</f>
        <v/>
      </c>
      <c r="F3" s="17">
        <f>'Raw Audit Data'!AT4</f>
        <v/>
      </c>
      <c r="G3" s="17">
        <f>'Raw Audit Data'!AU4</f>
        <v/>
      </c>
      <c r="H3" s="17">
        <f>'Raw Audit Data'!AV4</f>
        <v/>
      </c>
      <c r="I3" s="17">
        <f>'Raw Audit Data'!AW4</f>
        <v/>
      </c>
      <c r="J3" s="17">
        <f>'Raw Audit Data'!AX4</f>
        <v/>
      </c>
      <c r="K3" s="17">
        <f>'Raw Audit Data'!AY4</f>
        <v/>
      </c>
      <c r="L3" s="14">
        <f>'Raw Audit Data'!AZ4</f>
        <v/>
      </c>
      <c r="M3" s="15">
        <f>'Raw Audit Data'!BA4</f>
        <v/>
      </c>
    </row>
    <row r="4">
      <c r="A4" s="9" t="n">
        <v>3</v>
      </c>
      <c r="B4" s="16" t="inlineStr">
        <is>
          <t>Zakir C</t>
        </is>
      </c>
      <c r="C4" s="16" t="inlineStr">
        <is>
          <t>Zakir Husain Block</t>
        </is>
      </c>
      <c r="D4" s="17">
        <f>'Raw Audit Data'!AR5</f>
        <v/>
      </c>
      <c r="E4" s="17">
        <f>'Raw Audit Data'!AS5</f>
        <v/>
      </c>
      <c r="F4" s="17">
        <f>'Raw Audit Data'!AT5</f>
        <v/>
      </c>
      <c r="G4" s="17">
        <f>'Raw Audit Data'!AU5</f>
        <v/>
      </c>
      <c r="H4" s="17">
        <f>'Raw Audit Data'!AV5</f>
        <v/>
      </c>
      <c r="I4" s="17">
        <f>'Raw Audit Data'!AW5</f>
        <v/>
      </c>
      <c r="J4" s="17">
        <f>'Raw Audit Data'!AX5</f>
        <v/>
      </c>
      <c r="K4" s="17">
        <f>'Raw Audit Data'!AY5</f>
        <v/>
      </c>
      <c r="L4" s="14">
        <f>'Raw Audit Data'!AZ5</f>
        <v/>
      </c>
      <c r="M4" s="15">
        <f>'Raw Audit Data'!BA5</f>
        <v/>
      </c>
    </row>
    <row r="5">
      <c r="A5" s="9" t="n">
        <v>4</v>
      </c>
      <c r="B5" s="16" t="inlineStr">
        <is>
          <t>NC 1</t>
        </is>
      </c>
      <c r="C5" s="16" t="inlineStr">
        <is>
          <t>New Campus Block</t>
        </is>
      </c>
      <c r="D5" s="17">
        <f>'Raw Audit Data'!AR6</f>
        <v/>
      </c>
      <c r="E5" s="17">
        <f>'Raw Audit Data'!AS6</f>
        <v/>
      </c>
      <c r="F5" s="17">
        <f>'Raw Audit Data'!AT6</f>
        <v/>
      </c>
      <c r="G5" s="17">
        <f>'Raw Audit Data'!AU6</f>
        <v/>
      </c>
      <c r="H5" s="17">
        <f>'Raw Audit Data'!AV6</f>
        <v/>
      </c>
      <c r="I5" s="17">
        <f>'Raw Audit Data'!AW6</f>
        <v/>
      </c>
      <c r="J5" s="17">
        <f>'Raw Audit Data'!AX6</f>
        <v/>
      </c>
      <c r="K5" s="17">
        <f>'Raw Audit Data'!AY6</f>
        <v/>
      </c>
      <c r="L5" s="14">
        <f>'Raw Audit Data'!AZ6</f>
        <v/>
      </c>
      <c r="M5" s="15">
        <f>'Raw Audit Data'!BA6</f>
        <v/>
      </c>
    </row>
    <row r="6">
      <c r="A6" s="9" t="n">
        <v>5</v>
      </c>
      <c r="B6" s="16" t="inlineStr">
        <is>
          <t>NC 2</t>
        </is>
      </c>
      <c r="C6" s="16" t="inlineStr">
        <is>
          <t>New Campus Block</t>
        </is>
      </c>
      <c r="D6" s="17">
        <f>'Raw Audit Data'!AR7</f>
        <v/>
      </c>
      <c r="E6" s="17">
        <f>'Raw Audit Data'!AS7</f>
        <v/>
      </c>
      <c r="F6" s="17">
        <f>'Raw Audit Data'!AT7</f>
        <v/>
      </c>
      <c r="G6" s="17">
        <f>'Raw Audit Data'!AU7</f>
        <v/>
      </c>
      <c r="H6" s="17">
        <f>'Raw Audit Data'!AV7</f>
        <v/>
      </c>
      <c r="I6" s="17">
        <f>'Raw Audit Data'!AW7</f>
        <v/>
      </c>
      <c r="J6" s="17">
        <f>'Raw Audit Data'!AX7</f>
        <v/>
      </c>
      <c r="K6" s="17">
        <f>'Raw Audit Data'!AY7</f>
        <v/>
      </c>
      <c r="L6" s="14">
        <f>'Raw Audit Data'!AZ7</f>
        <v/>
      </c>
      <c r="M6" s="15">
        <f>'Raw Audit Data'!BA7</f>
        <v/>
      </c>
    </row>
    <row r="7">
      <c r="A7" s="9" t="n">
        <v>6</v>
      </c>
      <c r="B7" s="16" t="inlineStr">
        <is>
          <t>NC 3</t>
        </is>
      </c>
      <c r="C7" s="16" t="inlineStr">
        <is>
          <t>New Campus Block</t>
        </is>
      </c>
      <c r="D7" s="17">
        <f>'Raw Audit Data'!AR8</f>
        <v/>
      </c>
      <c r="E7" s="17">
        <f>'Raw Audit Data'!AS8</f>
        <v/>
      </c>
      <c r="F7" s="17">
        <f>'Raw Audit Data'!AT8</f>
        <v/>
      </c>
      <c r="G7" s="17">
        <f>'Raw Audit Data'!AU8</f>
        <v/>
      </c>
      <c r="H7" s="17">
        <f>'Raw Audit Data'!AV8</f>
        <v/>
      </c>
      <c r="I7" s="17">
        <f>'Raw Audit Data'!AW8</f>
        <v/>
      </c>
      <c r="J7" s="17">
        <f>'Raw Audit Data'!AX8</f>
        <v/>
      </c>
      <c r="K7" s="17">
        <f>'Raw Audit Data'!AY8</f>
        <v/>
      </c>
      <c r="L7" s="14">
        <f>'Raw Audit Data'!AZ8</f>
        <v/>
      </c>
      <c r="M7" s="15">
        <f>'Raw Audit Data'!BA8</f>
        <v/>
      </c>
    </row>
    <row r="8">
      <c r="A8" s="9" t="n">
        <v>7</v>
      </c>
      <c r="B8" s="16" t="inlineStr">
        <is>
          <t>NC 4</t>
        </is>
      </c>
      <c r="C8" s="16" t="inlineStr">
        <is>
          <t>New Campus Block</t>
        </is>
      </c>
      <c r="D8" s="17">
        <f>'Raw Audit Data'!AR9</f>
        <v/>
      </c>
      <c r="E8" s="17">
        <f>'Raw Audit Data'!AS9</f>
        <v/>
      </c>
      <c r="F8" s="17">
        <f>'Raw Audit Data'!AT9</f>
        <v/>
      </c>
      <c r="G8" s="17">
        <f>'Raw Audit Data'!AU9</f>
        <v/>
      </c>
      <c r="H8" s="17">
        <f>'Raw Audit Data'!AV9</f>
        <v/>
      </c>
      <c r="I8" s="17">
        <f>'Raw Audit Data'!AW9</f>
        <v/>
      </c>
      <c r="J8" s="17">
        <f>'Raw Audit Data'!AX9</f>
        <v/>
      </c>
      <c r="K8" s="17">
        <f>'Raw Audit Data'!AY9</f>
        <v/>
      </c>
      <c r="L8" s="14">
        <f>'Raw Audit Data'!AZ9</f>
        <v/>
      </c>
      <c r="M8" s="15">
        <f>'Raw Audit Data'!BA9</f>
        <v/>
      </c>
    </row>
    <row r="9">
      <c r="A9" s="9" t="n">
        <v>8</v>
      </c>
      <c r="B9" s="16" t="inlineStr">
        <is>
          <t>NC 5</t>
        </is>
      </c>
      <c r="C9" s="16" t="inlineStr">
        <is>
          <t>New Campus Block</t>
        </is>
      </c>
      <c r="D9" s="17">
        <f>'Raw Audit Data'!AR10</f>
        <v/>
      </c>
      <c r="E9" s="17">
        <f>'Raw Audit Data'!AS10</f>
        <v/>
      </c>
      <c r="F9" s="17">
        <f>'Raw Audit Data'!AT10</f>
        <v/>
      </c>
      <c r="G9" s="17">
        <f>'Raw Audit Data'!AU10</f>
        <v/>
      </c>
      <c r="H9" s="17">
        <f>'Raw Audit Data'!AV10</f>
        <v/>
      </c>
      <c r="I9" s="17">
        <f>'Raw Audit Data'!AW10</f>
        <v/>
      </c>
      <c r="J9" s="17">
        <f>'Raw Audit Data'!AX10</f>
        <v/>
      </c>
      <c r="K9" s="17">
        <f>'Raw Audit Data'!AY10</f>
        <v/>
      </c>
      <c r="L9" s="14">
        <f>'Raw Audit Data'!AZ10</f>
        <v/>
      </c>
      <c r="M9" s="15">
        <f>'Raw Audit Data'!BA10</f>
        <v/>
      </c>
    </row>
    <row r="10">
      <c r="A10" s="9" t="n">
        <v>9</v>
      </c>
      <c r="B10" s="16" t="inlineStr">
        <is>
          <t>D1</t>
        </is>
      </c>
      <c r="C10" s="16" t="inlineStr">
        <is>
          <t>D Block</t>
        </is>
      </c>
      <c r="D10" s="17">
        <f>'Raw Audit Data'!AR11</f>
        <v/>
      </c>
      <c r="E10" s="17">
        <f>'Raw Audit Data'!AS11</f>
        <v/>
      </c>
      <c r="F10" s="17">
        <f>'Raw Audit Data'!AT11</f>
        <v/>
      </c>
      <c r="G10" s="17">
        <f>'Raw Audit Data'!AU11</f>
        <v/>
      </c>
      <c r="H10" s="17">
        <f>'Raw Audit Data'!AV11</f>
        <v/>
      </c>
      <c r="I10" s="17">
        <f>'Raw Audit Data'!AW11</f>
        <v/>
      </c>
      <c r="J10" s="17">
        <f>'Raw Audit Data'!AX11</f>
        <v/>
      </c>
      <c r="K10" s="17">
        <f>'Raw Audit Data'!AY11</f>
        <v/>
      </c>
      <c r="L10" s="14">
        <f>'Raw Audit Data'!AZ11</f>
        <v/>
      </c>
      <c r="M10" s="15">
        <f>'Raw Audit Data'!BA11</f>
        <v/>
      </c>
    </row>
    <row r="11">
      <c r="A11" s="9" t="n">
        <v>10</v>
      </c>
      <c r="B11" s="16" t="inlineStr">
        <is>
          <t>D2</t>
        </is>
      </c>
      <c r="C11" s="16" t="inlineStr">
        <is>
          <t>D Block</t>
        </is>
      </c>
      <c r="D11" s="17">
        <f>'Raw Audit Data'!AR12</f>
        <v/>
      </c>
      <c r="E11" s="17">
        <f>'Raw Audit Data'!AS12</f>
        <v/>
      </c>
      <c r="F11" s="17">
        <f>'Raw Audit Data'!AT12</f>
        <v/>
      </c>
      <c r="G11" s="17">
        <f>'Raw Audit Data'!AU12</f>
        <v/>
      </c>
      <c r="H11" s="17">
        <f>'Raw Audit Data'!AV12</f>
        <v/>
      </c>
      <c r="I11" s="17">
        <f>'Raw Audit Data'!AW12</f>
        <v/>
      </c>
      <c r="J11" s="17">
        <f>'Raw Audit Data'!AX12</f>
        <v/>
      </c>
      <c r="K11" s="17">
        <f>'Raw Audit Data'!AY12</f>
        <v/>
      </c>
      <c r="L11" s="14">
        <f>'Raw Audit Data'!AZ12</f>
        <v/>
      </c>
      <c r="M11" s="15">
        <f>'Raw Audit Data'!BA12</f>
        <v/>
      </c>
    </row>
    <row r="12">
      <c r="A12" s="9" t="n">
        <v>11</v>
      </c>
      <c r="B12" s="16" t="inlineStr">
        <is>
          <t>D3</t>
        </is>
      </c>
      <c r="C12" s="16" t="inlineStr">
        <is>
          <t>D Block</t>
        </is>
      </c>
      <c r="D12" s="17">
        <f>'Raw Audit Data'!AR13</f>
        <v/>
      </c>
      <c r="E12" s="17">
        <f>'Raw Audit Data'!AS13</f>
        <v/>
      </c>
      <c r="F12" s="17">
        <f>'Raw Audit Data'!AT13</f>
        <v/>
      </c>
      <c r="G12" s="17">
        <f>'Raw Audit Data'!AU13</f>
        <v/>
      </c>
      <c r="H12" s="17">
        <f>'Raw Audit Data'!AV13</f>
        <v/>
      </c>
      <c r="I12" s="17">
        <f>'Raw Audit Data'!AW13</f>
        <v/>
      </c>
      <c r="J12" s="17">
        <f>'Raw Audit Data'!AX13</f>
        <v/>
      </c>
      <c r="K12" s="17">
        <f>'Raw Audit Data'!AY13</f>
        <v/>
      </c>
      <c r="L12" s="14">
        <f>'Raw Audit Data'!AZ13</f>
        <v/>
      </c>
      <c r="M12" s="15">
        <f>'Raw Audit Data'!BA13</f>
        <v/>
      </c>
    </row>
    <row r="13">
      <c r="A13" s="9" t="n">
        <v>12</v>
      </c>
      <c r="B13" s="16" t="inlineStr">
        <is>
          <t>D4</t>
        </is>
      </c>
      <c r="C13" s="16" t="inlineStr">
        <is>
          <t>D Block</t>
        </is>
      </c>
      <c r="D13" s="17">
        <f>'Raw Audit Data'!AR14</f>
        <v/>
      </c>
      <c r="E13" s="17">
        <f>'Raw Audit Data'!AS14</f>
        <v/>
      </c>
      <c r="F13" s="17">
        <f>'Raw Audit Data'!AT14</f>
        <v/>
      </c>
      <c r="G13" s="17">
        <f>'Raw Audit Data'!AU14</f>
        <v/>
      </c>
      <c r="H13" s="17">
        <f>'Raw Audit Data'!AV14</f>
        <v/>
      </c>
      <c r="I13" s="17">
        <f>'Raw Audit Data'!AW14</f>
        <v/>
      </c>
      <c r="J13" s="17">
        <f>'Raw Audit Data'!AX14</f>
        <v/>
      </c>
      <c r="K13" s="17">
        <f>'Raw Audit Data'!AY14</f>
        <v/>
      </c>
      <c r="L13" s="14">
        <f>'Raw Audit Data'!AZ14</f>
        <v/>
      </c>
      <c r="M13" s="15">
        <f>'Raw Audit Data'!BA14</f>
        <v/>
      </c>
    </row>
    <row r="14">
      <c r="A14" s="9" t="n">
        <v>13</v>
      </c>
      <c r="B14" s="16" t="inlineStr">
        <is>
          <t>D5</t>
        </is>
      </c>
      <c r="C14" s="16" t="inlineStr">
        <is>
          <t>D Block</t>
        </is>
      </c>
      <c r="D14" s="17">
        <f>'Raw Audit Data'!AR15</f>
        <v/>
      </c>
      <c r="E14" s="17">
        <f>'Raw Audit Data'!AS15</f>
        <v/>
      </c>
      <c r="F14" s="17">
        <f>'Raw Audit Data'!AT15</f>
        <v/>
      </c>
      <c r="G14" s="17">
        <f>'Raw Audit Data'!AU15</f>
        <v/>
      </c>
      <c r="H14" s="17">
        <f>'Raw Audit Data'!AV15</f>
        <v/>
      </c>
      <c r="I14" s="17">
        <f>'Raw Audit Data'!AW15</f>
        <v/>
      </c>
      <c r="J14" s="17">
        <f>'Raw Audit Data'!AX15</f>
        <v/>
      </c>
      <c r="K14" s="17">
        <f>'Raw Audit Data'!AY15</f>
        <v/>
      </c>
      <c r="L14" s="14">
        <f>'Raw Audit Data'!AZ15</f>
        <v/>
      </c>
      <c r="M14" s="15">
        <f>'Raw Audit Data'!BA15</f>
        <v/>
      </c>
    </row>
    <row r="15">
      <c r="A15" s="9" t="n">
        <v>14</v>
      </c>
      <c r="B15" s="16" t="inlineStr">
        <is>
          <t>D6</t>
        </is>
      </c>
      <c r="C15" s="16" t="inlineStr">
        <is>
          <t>D Block</t>
        </is>
      </c>
      <c r="D15" s="17">
        <f>'Raw Audit Data'!AR16</f>
        <v/>
      </c>
      <c r="E15" s="17">
        <f>'Raw Audit Data'!AS16</f>
        <v/>
      </c>
      <c r="F15" s="17">
        <f>'Raw Audit Data'!AT16</f>
        <v/>
      </c>
      <c r="G15" s="17">
        <f>'Raw Audit Data'!AU16</f>
        <v/>
      </c>
      <c r="H15" s="17">
        <f>'Raw Audit Data'!AV16</f>
        <v/>
      </c>
      <c r="I15" s="17">
        <f>'Raw Audit Data'!AW16</f>
        <v/>
      </c>
      <c r="J15" s="17">
        <f>'Raw Audit Data'!AX16</f>
        <v/>
      </c>
      <c r="K15" s="17">
        <f>'Raw Audit Data'!AY16</f>
        <v/>
      </c>
      <c r="L15" s="14">
        <f>'Raw Audit Data'!AZ16</f>
        <v/>
      </c>
      <c r="M15" s="15">
        <f>'Raw Audit Data'!BA16</f>
        <v/>
      </c>
    </row>
    <row r="16">
      <c r="A16" s="9" t="n">
        <v>15</v>
      </c>
      <c r="B16" s="16" t="inlineStr">
        <is>
          <t>D7</t>
        </is>
      </c>
      <c r="C16" s="16" t="inlineStr">
        <is>
          <t>D Block</t>
        </is>
      </c>
      <c r="D16" s="17">
        <f>'Raw Audit Data'!AR17</f>
        <v/>
      </c>
      <c r="E16" s="17">
        <f>'Raw Audit Data'!AS17</f>
        <v/>
      </c>
      <c r="F16" s="17">
        <f>'Raw Audit Data'!AT17</f>
        <v/>
      </c>
      <c r="G16" s="17">
        <f>'Raw Audit Data'!AU17</f>
        <v/>
      </c>
      <c r="H16" s="17">
        <f>'Raw Audit Data'!AV17</f>
        <v/>
      </c>
      <c r="I16" s="17">
        <f>'Raw Audit Data'!AW17</f>
        <v/>
      </c>
      <c r="J16" s="17">
        <f>'Raw Audit Data'!AX17</f>
        <v/>
      </c>
      <c r="K16" s="17">
        <f>'Raw Audit Data'!AY17</f>
        <v/>
      </c>
      <c r="L16" s="14">
        <f>'Raw Audit Data'!AZ17</f>
        <v/>
      </c>
      <c r="M16" s="15">
        <f>'Raw Audit Data'!BA17</f>
        <v/>
      </c>
    </row>
    <row r="17">
      <c r="A17" s="9" t="n">
        <v>16</v>
      </c>
      <c r="B17" s="16" t="inlineStr">
        <is>
          <t>D8</t>
        </is>
      </c>
      <c r="C17" s="16" t="inlineStr">
        <is>
          <t>D Block</t>
        </is>
      </c>
      <c r="D17" s="17">
        <f>'Raw Audit Data'!AR18</f>
        <v/>
      </c>
      <c r="E17" s="17">
        <f>'Raw Audit Data'!AS18</f>
        <v/>
      </c>
      <c r="F17" s="17">
        <f>'Raw Audit Data'!AT18</f>
        <v/>
      </c>
      <c r="G17" s="17">
        <f>'Raw Audit Data'!AU18</f>
        <v/>
      </c>
      <c r="H17" s="17">
        <f>'Raw Audit Data'!AV18</f>
        <v/>
      </c>
      <c r="I17" s="17">
        <f>'Raw Audit Data'!AW18</f>
        <v/>
      </c>
      <c r="J17" s="17">
        <f>'Raw Audit Data'!AX18</f>
        <v/>
      </c>
      <c r="K17" s="17">
        <f>'Raw Audit Data'!AY18</f>
        <v/>
      </c>
      <c r="L17" s="14">
        <f>'Raw Audit Data'!AZ18</f>
        <v/>
      </c>
      <c r="M17" s="15">
        <f>'Raw Audit Data'!BA18</f>
        <v/>
      </c>
    </row>
    <row r="18">
      <c r="A18" s="9" t="n">
        <v>17</v>
      </c>
      <c r="B18" s="16" t="inlineStr">
        <is>
          <t>DD1</t>
        </is>
      </c>
      <c r="C18" s="16" t="inlineStr">
        <is>
          <t>DD Block</t>
        </is>
      </c>
      <c r="D18" s="17">
        <f>'Raw Audit Data'!AR19</f>
        <v/>
      </c>
      <c r="E18" s="17">
        <f>'Raw Audit Data'!AS19</f>
        <v/>
      </c>
      <c r="F18" s="17">
        <f>'Raw Audit Data'!AT19</f>
        <v/>
      </c>
      <c r="G18" s="17">
        <f>'Raw Audit Data'!AU19</f>
        <v/>
      </c>
      <c r="H18" s="17">
        <f>'Raw Audit Data'!AV19</f>
        <v/>
      </c>
      <c r="I18" s="17">
        <f>'Raw Audit Data'!AW19</f>
        <v/>
      </c>
      <c r="J18" s="17">
        <f>'Raw Audit Data'!AX19</f>
        <v/>
      </c>
      <c r="K18" s="17">
        <f>'Raw Audit Data'!AY19</f>
        <v/>
      </c>
      <c r="L18" s="14">
        <f>'Raw Audit Data'!AZ19</f>
        <v/>
      </c>
      <c r="M18" s="15">
        <f>'Raw Audit Data'!BA19</f>
        <v/>
      </c>
    </row>
    <row r="19">
      <c r="A19" s="9" t="n">
        <v>18</v>
      </c>
      <c r="B19" s="16" t="inlineStr">
        <is>
          <t>DD2</t>
        </is>
      </c>
      <c r="C19" s="16" t="inlineStr">
        <is>
          <t>DD Block</t>
        </is>
      </c>
      <c r="D19" s="17">
        <f>'Raw Audit Data'!AR20</f>
        <v/>
      </c>
      <c r="E19" s="17">
        <f>'Raw Audit Data'!AS20</f>
        <v/>
      </c>
      <c r="F19" s="17">
        <f>'Raw Audit Data'!AT20</f>
        <v/>
      </c>
      <c r="G19" s="17">
        <f>'Raw Audit Data'!AU20</f>
        <v/>
      </c>
      <c r="H19" s="17">
        <f>'Raw Audit Data'!AV20</f>
        <v/>
      </c>
      <c r="I19" s="17">
        <f>'Raw Audit Data'!AW20</f>
        <v/>
      </c>
      <c r="J19" s="17">
        <f>'Raw Audit Data'!AX20</f>
        <v/>
      </c>
      <c r="K19" s="17">
        <f>'Raw Audit Data'!AY20</f>
        <v/>
      </c>
      <c r="L19" s="14">
        <f>'Raw Audit Data'!AZ20</f>
        <v/>
      </c>
      <c r="M19" s="15">
        <f>'Raw Audit Data'!BA20</f>
        <v/>
      </c>
    </row>
    <row r="20">
      <c r="A20" s="9" t="n">
        <v>19</v>
      </c>
      <c r="B20" s="16" t="inlineStr">
        <is>
          <t>C1</t>
        </is>
      </c>
      <c r="C20" s="16" t="inlineStr">
        <is>
          <t>C Block</t>
        </is>
      </c>
      <c r="D20" s="17">
        <f>'Raw Audit Data'!AR21</f>
        <v/>
      </c>
      <c r="E20" s="17">
        <f>'Raw Audit Data'!AS21</f>
        <v/>
      </c>
      <c r="F20" s="17">
        <f>'Raw Audit Data'!AT21</f>
        <v/>
      </c>
      <c r="G20" s="17">
        <f>'Raw Audit Data'!AU21</f>
        <v/>
      </c>
      <c r="H20" s="17">
        <f>'Raw Audit Data'!AV21</f>
        <v/>
      </c>
      <c r="I20" s="17">
        <f>'Raw Audit Data'!AW21</f>
        <v/>
      </c>
      <c r="J20" s="17">
        <f>'Raw Audit Data'!AX21</f>
        <v/>
      </c>
      <c r="K20" s="17">
        <f>'Raw Audit Data'!AY21</f>
        <v/>
      </c>
      <c r="L20" s="14">
        <f>'Raw Audit Data'!AZ21</f>
        <v/>
      </c>
      <c r="M20" s="15">
        <f>'Raw Audit Data'!BA21</f>
        <v/>
      </c>
    </row>
    <row r="21">
      <c r="A21" s="9" t="n">
        <v>20</v>
      </c>
      <c r="B21" s="16" t="inlineStr">
        <is>
          <t>C2</t>
        </is>
      </c>
      <c r="C21" s="16" t="inlineStr">
        <is>
          <t>C Block</t>
        </is>
      </c>
      <c r="D21" s="17">
        <f>'Raw Audit Data'!AR22</f>
        <v/>
      </c>
      <c r="E21" s="17">
        <f>'Raw Audit Data'!AS22</f>
        <v/>
      </c>
      <c r="F21" s="17">
        <f>'Raw Audit Data'!AT22</f>
        <v/>
      </c>
      <c r="G21" s="17">
        <f>'Raw Audit Data'!AU22</f>
        <v/>
      </c>
      <c r="H21" s="17">
        <f>'Raw Audit Data'!AV22</f>
        <v/>
      </c>
      <c r="I21" s="17">
        <f>'Raw Audit Data'!AW22</f>
        <v/>
      </c>
      <c r="J21" s="17">
        <f>'Raw Audit Data'!AX22</f>
        <v/>
      </c>
      <c r="K21" s="17">
        <f>'Raw Audit Data'!AY22</f>
        <v/>
      </c>
      <c r="L21" s="14">
        <f>'Raw Audit Data'!AZ22</f>
        <v/>
      </c>
      <c r="M21" s="15">
        <f>'Raw Audit Data'!BA22</f>
        <v/>
      </c>
    </row>
    <row r="22">
      <c r="A22" s="9" t="n">
        <v>21</v>
      </c>
      <c r="B22" s="16" t="inlineStr">
        <is>
          <t>C3</t>
        </is>
      </c>
      <c r="C22" s="16" t="inlineStr">
        <is>
          <t>C Block</t>
        </is>
      </c>
      <c r="D22" s="17">
        <f>'Raw Audit Data'!AR23</f>
        <v/>
      </c>
      <c r="E22" s="17">
        <f>'Raw Audit Data'!AS23</f>
        <v/>
      </c>
      <c r="F22" s="17">
        <f>'Raw Audit Data'!AT23</f>
        <v/>
      </c>
      <c r="G22" s="17">
        <f>'Raw Audit Data'!AU23</f>
        <v/>
      </c>
      <c r="H22" s="17">
        <f>'Raw Audit Data'!AV23</f>
        <v/>
      </c>
      <c r="I22" s="17">
        <f>'Raw Audit Data'!AW23</f>
        <v/>
      </c>
      <c r="J22" s="17">
        <f>'Raw Audit Data'!AX23</f>
        <v/>
      </c>
      <c r="K22" s="17">
        <f>'Raw Audit Data'!AY23</f>
        <v/>
      </c>
      <c r="L22" s="14">
        <f>'Raw Audit Data'!AZ23</f>
        <v/>
      </c>
      <c r="M22" s="15">
        <f>'Raw Audit Data'!BA23</f>
        <v/>
      </c>
    </row>
    <row r="23">
      <c r="A23" s="9" t="n">
        <v>22</v>
      </c>
      <c r="B23" s="16" t="inlineStr">
        <is>
          <t>B1</t>
        </is>
      </c>
      <c r="C23" s="16" t="inlineStr">
        <is>
          <t>B Block</t>
        </is>
      </c>
      <c r="D23" s="17">
        <f>'Raw Audit Data'!AR24</f>
        <v/>
      </c>
      <c r="E23" s="17">
        <f>'Raw Audit Data'!AS24</f>
        <v/>
      </c>
      <c r="F23" s="17">
        <f>'Raw Audit Data'!AT24</f>
        <v/>
      </c>
      <c r="G23" s="17">
        <f>'Raw Audit Data'!AU24</f>
        <v/>
      </c>
      <c r="H23" s="17">
        <f>'Raw Audit Data'!AV24</f>
        <v/>
      </c>
      <c r="I23" s="17">
        <f>'Raw Audit Data'!AW24</f>
        <v/>
      </c>
      <c r="J23" s="17">
        <f>'Raw Audit Data'!AX24</f>
        <v/>
      </c>
      <c r="K23" s="17">
        <f>'Raw Audit Data'!AY24</f>
        <v/>
      </c>
      <c r="L23" s="14">
        <f>'Raw Audit Data'!AZ24</f>
        <v/>
      </c>
      <c r="M23" s="15">
        <f>'Raw Audit Data'!BA24</f>
        <v/>
      </c>
    </row>
    <row r="24">
      <c r="A24" s="9" t="n">
        <v>23</v>
      </c>
      <c r="B24" s="16" t="inlineStr">
        <is>
          <t>B2</t>
        </is>
      </c>
      <c r="C24" s="16" t="inlineStr">
        <is>
          <t>B Block</t>
        </is>
      </c>
      <c r="D24" s="17">
        <f>'Raw Audit Data'!AR25</f>
        <v/>
      </c>
      <c r="E24" s="17">
        <f>'Raw Audit Data'!AS25</f>
        <v/>
      </c>
      <c r="F24" s="17">
        <f>'Raw Audit Data'!AT25</f>
        <v/>
      </c>
      <c r="G24" s="17">
        <f>'Raw Audit Data'!AU25</f>
        <v/>
      </c>
      <c r="H24" s="17">
        <f>'Raw Audit Data'!AV25</f>
        <v/>
      </c>
      <c r="I24" s="17">
        <f>'Raw Audit Data'!AW25</f>
        <v/>
      </c>
      <c r="J24" s="17">
        <f>'Raw Audit Data'!AX25</f>
        <v/>
      </c>
      <c r="K24" s="17">
        <f>'Raw Audit Data'!AY25</f>
        <v/>
      </c>
      <c r="L24" s="14">
        <f>'Raw Audit Data'!AZ25</f>
        <v/>
      </c>
      <c r="M24" s="15">
        <f>'Raw Audit Data'!BA25</f>
        <v/>
      </c>
    </row>
    <row r="25">
      <c r="A25" s="9" t="n">
        <v>24</v>
      </c>
      <c r="B25" s="16" t="inlineStr">
        <is>
          <t>B3</t>
        </is>
      </c>
      <c r="C25" s="16" t="inlineStr">
        <is>
          <t>B Block</t>
        </is>
      </c>
      <c r="D25" s="17">
        <f>'Raw Audit Data'!AR26</f>
        <v/>
      </c>
      <c r="E25" s="17">
        <f>'Raw Audit Data'!AS26</f>
        <v/>
      </c>
      <c r="F25" s="17">
        <f>'Raw Audit Data'!AT26</f>
        <v/>
      </c>
      <c r="G25" s="17">
        <f>'Raw Audit Data'!AU26</f>
        <v/>
      </c>
      <c r="H25" s="17">
        <f>'Raw Audit Data'!AV26</f>
        <v/>
      </c>
      <c r="I25" s="17">
        <f>'Raw Audit Data'!AW26</f>
        <v/>
      </c>
      <c r="J25" s="17">
        <f>'Raw Audit Data'!AX26</f>
        <v/>
      </c>
      <c r="K25" s="17">
        <f>'Raw Audit Data'!AY26</f>
        <v/>
      </c>
      <c r="L25" s="14">
        <f>'Raw Audit Data'!AZ26</f>
        <v/>
      </c>
      <c r="M25" s="15">
        <f>'Raw Audit Data'!BA26</f>
        <v/>
      </c>
    </row>
    <row r="26">
      <c r="A26" s="9" t="n">
        <v>25</v>
      </c>
      <c r="B26" s="16" t="inlineStr">
        <is>
          <t>B4</t>
        </is>
      </c>
      <c r="C26" s="16" t="inlineStr">
        <is>
          <t>B Block</t>
        </is>
      </c>
      <c r="D26" s="17">
        <f>'Raw Audit Data'!AR27</f>
        <v/>
      </c>
      <c r="E26" s="17">
        <f>'Raw Audit Data'!AS27</f>
        <v/>
      </c>
      <c r="F26" s="17">
        <f>'Raw Audit Data'!AT27</f>
        <v/>
      </c>
      <c r="G26" s="17">
        <f>'Raw Audit Data'!AU27</f>
        <v/>
      </c>
      <c r="H26" s="17">
        <f>'Raw Audit Data'!AV27</f>
        <v/>
      </c>
      <c r="I26" s="17">
        <f>'Raw Audit Data'!AW27</f>
        <v/>
      </c>
      <c r="J26" s="17">
        <f>'Raw Audit Data'!AX27</f>
        <v/>
      </c>
      <c r="K26" s="17">
        <f>'Raw Audit Data'!AY27</f>
        <v/>
      </c>
      <c r="L26" s="14">
        <f>'Raw Audit Data'!AZ27</f>
        <v/>
      </c>
      <c r="M26" s="15">
        <f>'Raw Audit Data'!BA27</f>
        <v/>
      </c>
    </row>
    <row r="27">
      <c r="A27" s="9" t="n">
        <v>26</v>
      </c>
      <c r="B27" s="16" t="inlineStr">
        <is>
          <t>B5</t>
        </is>
      </c>
      <c r="C27" s="16" t="inlineStr">
        <is>
          <t>B Block</t>
        </is>
      </c>
      <c r="D27" s="17">
        <f>'Raw Audit Data'!AR28</f>
        <v/>
      </c>
      <c r="E27" s="17">
        <f>'Raw Audit Data'!AS28</f>
        <v/>
      </c>
      <c r="F27" s="17">
        <f>'Raw Audit Data'!AT28</f>
        <v/>
      </c>
      <c r="G27" s="17">
        <f>'Raw Audit Data'!AU28</f>
        <v/>
      </c>
      <c r="H27" s="17">
        <f>'Raw Audit Data'!AV28</f>
        <v/>
      </c>
      <c r="I27" s="17">
        <f>'Raw Audit Data'!AW28</f>
        <v/>
      </c>
      <c r="J27" s="17">
        <f>'Raw Audit Data'!AX28</f>
        <v/>
      </c>
      <c r="K27" s="17">
        <f>'Raw Audit Data'!AY28</f>
        <v/>
      </c>
      <c r="L27" s="14">
        <f>'Raw Audit Data'!AZ28</f>
        <v/>
      </c>
      <c r="M27" s="15">
        <f>'Raw Audit Data'!BA28</f>
        <v/>
      </c>
    </row>
    <row r="28">
      <c r="A28" s="9" t="n">
        <v>27</v>
      </c>
      <c r="B28" s="16" t="inlineStr">
        <is>
          <t>A1</t>
        </is>
      </c>
      <c r="C28" s="16" t="inlineStr">
        <is>
          <t>A Block</t>
        </is>
      </c>
      <c r="D28" s="17">
        <f>'Raw Audit Data'!AR29</f>
        <v/>
      </c>
      <c r="E28" s="17">
        <f>'Raw Audit Data'!AS29</f>
        <v/>
      </c>
      <c r="F28" s="17">
        <f>'Raw Audit Data'!AT29</f>
        <v/>
      </c>
      <c r="G28" s="17">
        <f>'Raw Audit Data'!AU29</f>
        <v/>
      </c>
      <c r="H28" s="17">
        <f>'Raw Audit Data'!AV29</f>
        <v/>
      </c>
      <c r="I28" s="17">
        <f>'Raw Audit Data'!AW29</f>
        <v/>
      </c>
      <c r="J28" s="17">
        <f>'Raw Audit Data'!AX29</f>
        <v/>
      </c>
      <c r="K28" s="17">
        <f>'Raw Audit Data'!AY29</f>
        <v/>
      </c>
      <c r="L28" s="14">
        <f>'Raw Audit Data'!AZ29</f>
        <v/>
      </c>
      <c r="M28" s="15">
        <f>'Raw Audit Data'!BA29</f>
        <v/>
      </c>
    </row>
    <row r="29">
      <c r="A29" s="9" t="n">
        <v>28</v>
      </c>
      <c r="B29" s="16" t="inlineStr">
        <is>
          <t>A2</t>
        </is>
      </c>
      <c r="C29" s="16" t="inlineStr">
        <is>
          <t>A Block</t>
        </is>
      </c>
      <c r="D29" s="17">
        <f>'Raw Audit Data'!AR30</f>
        <v/>
      </c>
      <c r="E29" s="17">
        <f>'Raw Audit Data'!AS30</f>
        <v/>
      </c>
      <c r="F29" s="17">
        <f>'Raw Audit Data'!AT30</f>
        <v/>
      </c>
      <c r="G29" s="17">
        <f>'Raw Audit Data'!AU30</f>
        <v/>
      </c>
      <c r="H29" s="17">
        <f>'Raw Audit Data'!AV30</f>
        <v/>
      </c>
      <c r="I29" s="17">
        <f>'Raw Audit Data'!AW30</f>
        <v/>
      </c>
      <c r="J29" s="17">
        <f>'Raw Audit Data'!AX30</f>
        <v/>
      </c>
      <c r="K29" s="17">
        <f>'Raw Audit Data'!AY30</f>
        <v/>
      </c>
      <c r="L29" s="14">
        <f>'Raw Audit Data'!AZ30</f>
        <v/>
      </c>
      <c r="M29" s="15">
        <f>'Raw Audit Data'!BA30</f>
        <v/>
      </c>
    </row>
    <row r="30">
      <c r="A30" s="9" t="n">
        <v>29</v>
      </c>
      <c r="B30" s="16" t="inlineStr">
        <is>
          <t>A3</t>
        </is>
      </c>
      <c r="C30" s="16" t="inlineStr">
        <is>
          <t>A Block</t>
        </is>
      </c>
      <c r="D30" s="17">
        <f>'Raw Audit Data'!AR31</f>
        <v/>
      </c>
      <c r="E30" s="17">
        <f>'Raw Audit Data'!AS31</f>
        <v/>
      </c>
      <c r="F30" s="17">
        <f>'Raw Audit Data'!AT31</f>
        <v/>
      </c>
      <c r="G30" s="17">
        <f>'Raw Audit Data'!AU31</f>
        <v/>
      </c>
      <c r="H30" s="17">
        <f>'Raw Audit Data'!AV31</f>
        <v/>
      </c>
      <c r="I30" s="17">
        <f>'Raw Audit Data'!AW31</f>
        <v/>
      </c>
      <c r="J30" s="17">
        <f>'Raw Audit Data'!AX31</f>
        <v/>
      </c>
      <c r="K30" s="17">
        <f>'Raw Audit Data'!AY31</f>
        <v/>
      </c>
      <c r="L30" s="14">
        <f>'Raw Audit Data'!AZ31</f>
        <v/>
      </c>
      <c r="M30" s="15">
        <f>'Raw Audit Data'!BA31</f>
        <v/>
      </c>
    </row>
  </sheetData>
  <conditionalFormatting sqref="D2:L30">
    <cfRule type="cellIs" priority="1" operator="greaterThanOrEqual" dxfId="2">
      <formula>80</formula>
    </cfRule>
    <cfRule type="cellIs" priority="2" operator="between" dxfId="1">
      <formula>50</formula>
      <formula>79.9</formula>
    </cfRule>
    <cfRule type="cellIs" priority="3" operator="lessThan" dxfId="0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L8"/>
  <sheetViews>
    <sheetView workbookViewId="0">
      <pane xSplit="2" ySplit="1" topLeftCell="C2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4.45" outlineLevelCol="0"/>
  <cols>
    <col width="22" customWidth="1" min="1" max="1"/>
    <col width="40" customWidth="1" min="2" max="2"/>
    <col width="22" customWidth="1" min="3" max="12"/>
  </cols>
  <sheetData>
    <row r="1" ht="28.9" customHeight="1">
      <c r="A1" s="25" t="inlineStr">
        <is>
          <t>Block</t>
        </is>
      </c>
      <c r="B1" s="25" t="inlineStr">
        <is>
          <t>Buildings</t>
        </is>
      </c>
      <c r="C1" s="25" t="inlineStr">
        <is>
          <t>Entrance &amp; Approach</t>
        </is>
      </c>
      <c r="D1" s="25" t="inlineStr">
        <is>
          <t>Lifts &amp; Stairs</t>
        </is>
      </c>
      <c r="E1" s="25" t="inlineStr">
        <is>
          <t>Corridors &amp; Pathways</t>
        </is>
      </c>
      <c r="F1" s="25" t="inlineStr">
        <is>
          <t>Signage &amp; Wayfinding</t>
        </is>
      </c>
      <c r="G1" s="25" t="inlineStr">
        <is>
          <t>Washroom Accessibility</t>
        </is>
      </c>
      <c r="H1" s="25" t="inlineStr">
        <is>
          <t>Emergency &amp; Safety</t>
        </is>
      </c>
      <c r="I1" s="25" t="inlineStr">
        <is>
          <t>Classroom &amp; Furniture</t>
        </is>
      </c>
      <c r="J1" s="25" t="inlineStr">
        <is>
          <t>External &amp; Common Facilities</t>
        </is>
      </c>
      <c r="K1" s="25" t="inlineStr">
        <is>
          <t>Overall %</t>
        </is>
      </c>
      <c r="L1" s="25" t="inlineStr">
        <is>
          <t>Compliance</t>
        </is>
      </c>
    </row>
    <row r="2">
      <c r="A2" s="23" t="inlineStr">
        <is>
          <t>Zakir Husain Block</t>
        </is>
      </c>
      <c r="B2" s="11" t="inlineStr">
        <is>
          <t>Zakir A, Zakir B, Zakir C</t>
        </is>
      </c>
      <c r="C2" s="17">
        <f>IFERROR(AVERAGE('Category Summary'!D2,'Category Summary'!D3,'Category Summary'!D4),"")</f>
        <v/>
      </c>
      <c r="D2" s="17">
        <f>IFERROR(AVERAGE('Category Summary'!E2,'Category Summary'!E3,'Category Summary'!E4),"")</f>
        <v/>
      </c>
      <c r="E2" s="17">
        <f>IFERROR(AVERAGE('Category Summary'!F2,'Category Summary'!F3,'Category Summary'!F4),"")</f>
        <v/>
      </c>
      <c r="F2" s="17">
        <f>IFERROR(AVERAGE('Category Summary'!G2,'Category Summary'!G3,'Category Summary'!G4),"")</f>
        <v/>
      </c>
      <c r="G2" s="17">
        <f>IFERROR(AVERAGE('Category Summary'!H2,'Category Summary'!H3,'Category Summary'!H4),"")</f>
        <v/>
      </c>
      <c r="H2" s="17">
        <f>IFERROR(AVERAGE('Category Summary'!I2,'Category Summary'!I3,'Category Summary'!I4),"")</f>
        <v/>
      </c>
      <c r="I2" s="17">
        <f>IFERROR(AVERAGE('Category Summary'!J2,'Category Summary'!J3,'Category Summary'!J4),"")</f>
        <v/>
      </c>
      <c r="J2" s="17">
        <f>IFERROR(AVERAGE('Category Summary'!K2,'Category Summary'!K3,'Category Summary'!K4),"")</f>
        <v/>
      </c>
      <c r="K2" s="14">
        <f>IFERROR(AVERAGE('Category Summary'!L2,'Category Summary'!L3,'Category Summary'!L4),"")</f>
        <v/>
      </c>
      <c r="L2" s="15">
        <f>IF(K2="","",IF(K2&gt;=80,"Compliant",IF(K2&gt;=50,"Partial","Non-Compliant")))</f>
        <v/>
      </c>
    </row>
    <row r="3">
      <c r="A3" s="23" t="inlineStr">
        <is>
          <t>New Campus Block</t>
        </is>
      </c>
      <c r="B3" s="11" t="inlineStr">
        <is>
          <t>NC 1, NC 2, NC 3, NC 4, NC 5</t>
        </is>
      </c>
      <c r="C3" s="17">
        <f>IFERROR(AVERAGE('Category Summary'!D5,'Category Summary'!D6,'Category Summary'!D7,'Category Summary'!D8,'Category Summary'!D9),"")</f>
        <v/>
      </c>
      <c r="D3" s="17">
        <f>IFERROR(AVERAGE('Category Summary'!E5,'Category Summary'!E6,'Category Summary'!E7,'Category Summary'!E8,'Category Summary'!E9),"")</f>
        <v/>
      </c>
      <c r="E3" s="17">
        <f>IFERROR(AVERAGE('Category Summary'!F5,'Category Summary'!F6,'Category Summary'!F7,'Category Summary'!F8,'Category Summary'!F9),"")</f>
        <v/>
      </c>
      <c r="F3" s="17">
        <f>IFERROR(AVERAGE('Category Summary'!G5,'Category Summary'!G6,'Category Summary'!G7,'Category Summary'!G8,'Category Summary'!G9),"")</f>
        <v/>
      </c>
      <c r="G3" s="17">
        <f>IFERROR(AVERAGE('Category Summary'!H5,'Category Summary'!H6,'Category Summary'!H7,'Category Summary'!H8,'Category Summary'!H9),"")</f>
        <v/>
      </c>
      <c r="H3" s="17">
        <f>IFERROR(AVERAGE('Category Summary'!I5,'Category Summary'!I6,'Category Summary'!I7,'Category Summary'!I8,'Category Summary'!I9),"")</f>
        <v/>
      </c>
      <c r="I3" s="17">
        <f>IFERROR(AVERAGE('Category Summary'!J5,'Category Summary'!J6,'Category Summary'!J7,'Category Summary'!J8,'Category Summary'!J9),"")</f>
        <v/>
      </c>
      <c r="J3" s="17">
        <f>IFERROR(AVERAGE('Category Summary'!K5,'Category Summary'!K6,'Category Summary'!K7,'Category Summary'!K8,'Category Summary'!K9),"")</f>
        <v/>
      </c>
      <c r="K3" s="14">
        <f>IFERROR(AVERAGE('Category Summary'!L5,'Category Summary'!L6,'Category Summary'!L7,'Category Summary'!L8,'Category Summary'!L9),"")</f>
        <v/>
      </c>
      <c r="L3" s="15">
        <f>IF(K3="","",IF(K3&gt;=80,"Compliant",IF(K3&gt;=50,"Partial","Non-Compliant")))</f>
        <v/>
      </c>
    </row>
    <row r="4">
      <c r="A4" s="23" t="inlineStr">
        <is>
          <t>D Block</t>
        </is>
      </c>
      <c r="B4" s="11" t="inlineStr">
        <is>
          <t>D1, D2, D3, D4, D5, D6, D7, D8</t>
        </is>
      </c>
      <c r="C4" s="17">
        <f>IFERROR(AVERAGE('Category Summary'!D10,'Category Summary'!D11,'Category Summary'!D12,'Category Summary'!D13,'Category Summary'!D14,'Category Summary'!D15,'Category Summary'!D16,'Category Summary'!D17),"")</f>
        <v/>
      </c>
      <c r="D4" s="17">
        <f>IFERROR(AVERAGE('Category Summary'!E10,'Category Summary'!E11,'Category Summary'!E12,'Category Summary'!E13,'Category Summary'!E14,'Category Summary'!E15,'Category Summary'!E16,'Category Summary'!E17),"")</f>
        <v/>
      </c>
      <c r="E4" s="17">
        <f>IFERROR(AVERAGE('Category Summary'!F10,'Category Summary'!F11,'Category Summary'!F12,'Category Summary'!F13,'Category Summary'!F14,'Category Summary'!F15,'Category Summary'!F16,'Category Summary'!F17),"")</f>
        <v/>
      </c>
      <c r="F4" s="17">
        <f>IFERROR(AVERAGE('Category Summary'!G10,'Category Summary'!G11,'Category Summary'!G12,'Category Summary'!G13,'Category Summary'!G14,'Category Summary'!G15,'Category Summary'!G16,'Category Summary'!G17),"")</f>
        <v/>
      </c>
      <c r="G4" s="17">
        <f>IFERROR(AVERAGE('Category Summary'!H10,'Category Summary'!H11,'Category Summary'!H12,'Category Summary'!H13,'Category Summary'!H14,'Category Summary'!H15,'Category Summary'!H16,'Category Summary'!H17),"")</f>
        <v/>
      </c>
      <c r="H4" s="17">
        <f>IFERROR(AVERAGE('Category Summary'!I10,'Category Summary'!I11,'Category Summary'!I12,'Category Summary'!I13,'Category Summary'!I14,'Category Summary'!I15,'Category Summary'!I16,'Category Summary'!I17),"")</f>
        <v/>
      </c>
      <c r="I4" s="17">
        <f>IFERROR(AVERAGE('Category Summary'!J10,'Category Summary'!J11,'Category Summary'!J12,'Category Summary'!J13,'Category Summary'!J14,'Category Summary'!J15,'Category Summary'!J16,'Category Summary'!J17),"")</f>
        <v/>
      </c>
      <c r="J4" s="17">
        <f>IFERROR(AVERAGE('Category Summary'!K10,'Category Summary'!K11,'Category Summary'!K12,'Category Summary'!K13,'Category Summary'!K14,'Category Summary'!K15,'Category Summary'!K16,'Category Summary'!K17),"")</f>
        <v/>
      </c>
      <c r="K4" s="14">
        <f>IFERROR(AVERAGE('Category Summary'!L10,'Category Summary'!L11,'Category Summary'!L12,'Category Summary'!L13,'Category Summary'!L14,'Category Summary'!L15,'Category Summary'!L16,'Category Summary'!L17),"")</f>
        <v/>
      </c>
      <c r="L4" s="15">
        <f>IF(K4="","",IF(K4&gt;=80,"Compliant",IF(K4&gt;=50,"Partial","Non-Compliant")))</f>
        <v/>
      </c>
    </row>
    <row r="5">
      <c r="A5" s="23" t="inlineStr">
        <is>
          <t>DD Block</t>
        </is>
      </c>
      <c r="B5" s="11" t="inlineStr">
        <is>
          <t>DD1, DD2</t>
        </is>
      </c>
      <c r="C5" s="17">
        <f>IFERROR(AVERAGE('Category Summary'!D18,'Category Summary'!D19),"")</f>
        <v/>
      </c>
      <c r="D5" s="17">
        <f>IFERROR(AVERAGE('Category Summary'!E18,'Category Summary'!E19),"")</f>
        <v/>
      </c>
      <c r="E5" s="17">
        <f>IFERROR(AVERAGE('Category Summary'!F18,'Category Summary'!F19),"")</f>
        <v/>
      </c>
      <c r="F5" s="17">
        <f>IFERROR(AVERAGE('Category Summary'!G18,'Category Summary'!G19),"")</f>
        <v/>
      </c>
      <c r="G5" s="17">
        <f>IFERROR(AVERAGE('Category Summary'!H18,'Category Summary'!H19),"")</f>
        <v/>
      </c>
      <c r="H5" s="17">
        <f>IFERROR(AVERAGE('Category Summary'!I18,'Category Summary'!I19),"")</f>
        <v/>
      </c>
      <c r="I5" s="17">
        <f>IFERROR(AVERAGE('Category Summary'!J18,'Category Summary'!J19),"")</f>
        <v/>
      </c>
      <c r="J5" s="17">
        <f>IFERROR(AVERAGE('Category Summary'!K18,'Category Summary'!K19),"")</f>
        <v/>
      </c>
      <c r="K5" s="14">
        <f>IFERROR(AVERAGE('Category Summary'!L18,'Category Summary'!L19),"")</f>
        <v/>
      </c>
      <c r="L5" s="15">
        <f>IF(K5="","",IF(K5&gt;=80,"Compliant",IF(K5&gt;=50,"Partial","Non-Compliant")))</f>
        <v/>
      </c>
    </row>
    <row r="6">
      <c r="A6" s="23" t="inlineStr">
        <is>
          <t>C Block</t>
        </is>
      </c>
      <c r="B6" s="11" t="inlineStr">
        <is>
          <t>C1, C2, C3</t>
        </is>
      </c>
      <c r="C6" s="17">
        <f>IFERROR(AVERAGE('Category Summary'!D20,'Category Summary'!D21,'Category Summary'!D22),"")</f>
        <v/>
      </c>
      <c r="D6" s="17">
        <f>IFERROR(AVERAGE('Category Summary'!E20,'Category Summary'!E21,'Category Summary'!E22),"")</f>
        <v/>
      </c>
      <c r="E6" s="17">
        <f>IFERROR(AVERAGE('Category Summary'!F20,'Category Summary'!F21,'Category Summary'!F22),"")</f>
        <v/>
      </c>
      <c r="F6" s="17">
        <f>IFERROR(AVERAGE('Category Summary'!G20,'Category Summary'!G21,'Category Summary'!G22),"")</f>
        <v/>
      </c>
      <c r="G6" s="17">
        <f>IFERROR(AVERAGE('Category Summary'!H20,'Category Summary'!H21,'Category Summary'!H22),"")</f>
        <v/>
      </c>
      <c r="H6" s="17">
        <f>IFERROR(AVERAGE('Category Summary'!I20,'Category Summary'!I21,'Category Summary'!I22),"")</f>
        <v/>
      </c>
      <c r="I6" s="17">
        <f>IFERROR(AVERAGE('Category Summary'!J20,'Category Summary'!J21,'Category Summary'!J22),"")</f>
        <v/>
      </c>
      <c r="J6" s="17">
        <f>IFERROR(AVERAGE('Category Summary'!K20,'Category Summary'!K21,'Category Summary'!K22),"")</f>
        <v/>
      </c>
      <c r="K6" s="14">
        <f>IFERROR(AVERAGE('Category Summary'!L20,'Category Summary'!L21,'Category Summary'!L22),"")</f>
        <v/>
      </c>
      <c r="L6" s="15">
        <f>IF(K6="","",IF(K6&gt;=80,"Compliant",IF(K6&gt;=50,"Partial","Non-Compliant")))</f>
        <v/>
      </c>
    </row>
    <row r="7">
      <c r="A7" s="23" t="inlineStr">
        <is>
          <t>B Block</t>
        </is>
      </c>
      <c r="B7" s="11" t="inlineStr">
        <is>
          <t>B1, B2, B3, B4, B5</t>
        </is>
      </c>
      <c r="C7" s="17">
        <f>IFERROR(AVERAGE('Category Summary'!D23,'Category Summary'!D24,'Category Summary'!D25,'Category Summary'!D26,'Category Summary'!D27),"")</f>
        <v/>
      </c>
      <c r="D7" s="17">
        <f>IFERROR(AVERAGE('Category Summary'!E23,'Category Summary'!E24,'Category Summary'!E25,'Category Summary'!E26,'Category Summary'!E27),"")</f>
        <v/>
      </c>
      <c r="E7" s="17">
        <f>IFERROR(AVERAGE('Category Summary'!F23,'Category Summary'!F24,'Category Summary'!F25,'Category Summary'!F26,'Category Summary'!F27),"")</f>
        <v/>
      </c>
      <c r="F7" s="17">
        <f>IFERROR(AVERAGE('Category Summary'!G23,'Category Summary'!G24,'Category Summary'!G25,'Category Summary'!G26,'Category Summary'!G27),"")</f>
        <v/>
      </c>
      <c r="G7" s="17">
        <f>IFERROR(AVERAGE('Category Summary'!H23,'Category Summary'!H24,'Category Summary'!H25,'Category Summary'!H26,'Category Summary'!H27),"")</f>
        <v/>
      </c>
      <c r="H7" s="17">
        <f>IFERROR(AVERAGE('Category Summary'!I23,'Category Summary'!I24,'Category Summary'!I25,'Category Summary'!I26,'Category Summary'!I27),"")</f>
        <v/>
      </c>
      <c r="I7" s="17">
        <f>IFERROR(AVERAGE('Category Summary'!J23,'Category Summary'!J24,'Category Summary'!J25,'Category Summary'!J26,'Category Summary'!J27),"")</f>
        <v/>
      </c>
      <c r="J7" s="17">
        <f>IFERROR(AVERAGE('Category Summary'!K23,'Category Summary'!K24,'Category Summary'!K25,'Category Summary'!K26,'Category Summary'!K27),"")</f>
        <v/>
      </c>
      <c r="K7" s="14">
        <f>IFERROR(AVERAGE('Category Summary'!L23,'Category Summary'!L24,'Category Summary'!L25,'Category Summary'!L26,'Category Summary'!L27),"")</f>
        <v/>
      </c>
      <c r="L7" s="15">
        <f>IF(K7="","",IF(K7&gt;=80,"Compliant",IF(K7&gt;=50,"Partial","Non-Compliant")))</f>
        <v/>
      </c>
    </row>
    <row r="8">
      <c r="A8" s="23" t="inlineStr">
        <is>
          <t>A Block</t>
        </is>
      </c>
      <c r="B8" s="11" t="inlineStr">
        <is>
          <t>A1, A2, A3</t>
        </is>
      </c>
      <c r="C8" s="17">
        <f>IFERROR(AVERAGE('Category Summary'!D28,'Category Summary'!D29,'Category Summary'!D30),"")</f>
        <v/>
      </c>
      <c r="D8" s="17">
        <f>IFERROR(AVERAGE('Category Summary'!E28,'Category Summary'!E29,'Category Summary'!E30),"")</f>
        <v/>
      </c>
      <c r="E8" s="17">
        <f>IFERROR(AVERAGE('Category Summary'!F28,'Category Summary'!F29,'Category Summary'!F30),"")</f>
        <v/>
      </c>
      <c r="F8" s="17">
        <f>IFERROR(AVERAGE('Category Summary'!G28,'Category Summary'!G29,'Category Summary'!G30),"")</f>
        <v/>
      </c>
      <c r="G8" s="17">
        <f>IFERROR(AVERAGE('Category Summary'!H28,'Category Summary'!H29,'Category Summary'!H30),"")</f>
        <v/>
      </c>
      <c r="H8" s="17">
        <f>IFERROR(AVERAGE('Category Summary'!I28,'Category Summary'!I29,'Category Summary'!I30),"")</f>
        <v/>
      </c>
      <c r="I8" s="17">
        <f>IFERROR(AVERAGE('Category Summary'!J28,'Category Summary'!J29,'Category Summary'!J30),"")</f>
        <v/>
      </c>
      <c r="J8" s="17">
        <f>IFERROR(AVERAGE('Category Summary'!K28,'Category Summary'!K29,'Category Summary'!K30),"")</f>
        <v/>
      </c>
      <c r="K8" s="14">
        <f>IFERROR(AVERAGE('Category Summary'!L28,'Category Summary'!L29,'Category Summary'!L30),"")</f>
        <v/>
      </c>
      <c r="L8" s="15">
        <f>IF(K8="","",IF(K8&gt;=80,"Compliant",IF(K8&gt;=50,"Partial","Non-Compliant")))</f>
        <v/>
      </c>
    </row>
  </sheetData>
  <conditionalFormatting sqref="C2:K8">
    <cfRule type="cellIs" priority="1" operator="greaterThanOrEqual" dxfId="2">
      <formula>80</formula>
    </cfRule>
    <cfRule type="cellIs" priority="2" operator="between" dxfId="1">
      <formula>50</formula>
      <formula>79.9</formula>
    </cfRule>
    <cfRule type="cellIs" priority="3" operator="lessThan" dxfId="0">
      <formula>50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4.45" outlineLevelCol="0"/>
  <cols>
    <col width="50" customWidth="1" min="1" max="1"/>
    <col width="40" customWidth="1" min="2" max="2"/>
    <col width="35" customWidth="1" min="3" max="3"/>
    <col width="30" customWidth="1" min="4" max="4"/>
  </cols>
  <sheetData>
    <row r="1" ht="42" customHeight="1">
      <c r="A1" s="18" t="inlineStr">
        <is>
          <t>CAMPUS ACCESSIBILITY AUDIT - SCORING GUIDE</t>
        </is>
      </c>
    </row>
    <row r="2">
      <c r="A2" s="19" t="n"/>
    </row>
    <row r="3" ht="17.45" customHeight="1">
      <c r="A3" s="20" t="inlineStr">
        <is>
          <t>HOW TO FILL THE SURVEY</t>
        </is>
      </c>
    </row>
    <row r="4">
      <c r="A4" s="19" t="inlineStr">
        <is>
          <t>For each building, select from the dropdown:</t>
        </is>
      </c>
    </row>
    <row r="5">
      <c r="A5" s="19" t="n"/>
    </row>
    <row r="6">
      <c r="A6" s="21" t="inlineStr">
        <is>
          <t>Response</t>
        </is>
      </c>
      <c r="B6" s="21" t="inlineStr">
        <is>
          <t>Meaning</t>
        </is>
      </c>
      <c r="C6" s="21" t="inlineStr">
        <is>
          <t>When to Use</t>
        </is>
      </c>
      <c r="D6" s="21" t="inlineStr">
        <is>
          <t>Score</t>
        </is>
      </c>
    </row>
    <row r="7">
      <c r="A7" s="19" t="inlineStr">
        <is>
          <t>Yes</t>
        </is>
      </c>
      <c r="B7" s="19" t="inlineStr">
        <is>
          <t>Available and working properly</t>
        </is>
      </c>
      <c r="C7" s="19" t="inlineStr">
        <is>
          <t>Ramp exists, good condition, usable</t>
        </is>
      </c>
      <c r="D7" s="19" t="inlineStr">
        <is>
          <t>1</t>
        </is>
      </c>
    </row>
    <row r="8">
      <c r="A8" s="19" t="inlineStr">
        <is>
          <t>No</t>
        </is>
      </c>
      <c r="B8" s="19" t="inlineStr">
        <is>
          <t>Not available at all</t>
        </is>
      </c>
      <c r="C8" s="19" t="inlineStr">
        <is>
          <t>No ramp exists anywhere</t>
        </is>
      </c>
      <c r="D8" s="19" t="inlineStr">
        <is>
          <t>0</t>
        </is>
      </c>
    </row>
    <row r="9">
      <c r="A9" s="19" t="inlineStr">
        <is>
          <t>Partial</t>
        </is>
      </c>
      <c r="B9" s="19" t="inlineStr">
        <is>
          <t>Exists but damaged / incomplete / unusable</t>
        </is>
      </c>
      <c r="C9" s="19" t="inlineStr">
        <is>
          <t>Ramp exists but broken or too steep</t>
        </is>
      </c>
      <c r="D9" s="19" t="inlineStr">
        <is>
          <t>0.5</t>
        </is>
      </c>
    </row>
    <row r="10">
      <c r="A10" s="19" t="inlineStr">
        <is>
          <t>NA</t>
        </is>
      </c>
      <c r="B10" s="19" t="inlineStr">
        <is>
          <t>Not applicable to this building</t>
        </is>
      </c>
      <c r="C10" s="19" t="inlineStr">
        <is>
          <t>Single-floor building has no lift needed</t>
        </is>
      </c>
      <c r="D10" s="19" t="inlineStr">
        <is>
          <t>Excluded</t>
        </is>
      </c>
    </row>
    <row r="11">
      <c r="A11" s="19" t="n"/>
    </row>
    <row r="12" ht="17.45" customHeight="1">
      <c r="A12" s="20" t="inlineStr">
        <is>
          <t>COMPLIANCE RATING</t>
        </is>
      </c>
    </row>
    <row r="13">
      <c r="A13" s="21" t="inlineStr">
        <is>
          <t>Score Range</t>
        </is>
      </c>
      <c r="B13" s="21" t="inlineStr">
        <is>
          <t>Rating</t>
        </is>
      </c>
      <c r="C13" s="21" t="inlineStr">
        <is>
          <t>Color</t>
        </is>
      </c>
      <c r="D13" s="21" t="inlineStr">
        <is>
          <t>Action</t>
        </is>
      </c>
    </row>
    <row r="14">
      <c r="A14" s="19" t="inlineStr">
        <is>
          <t>&gt;= 80%</t>
        </is>
      </c>
      <c r="B14" s="19" t="inlineStr">
        <is>
          <t>Compliant</t>
        </is>
      </c>
      <c r="C14" s="19" t="inlineStr">
        <is>
          <t>Green</t>
        </is>
      </c>
      <c r="D14" s="19" t="inlineStr">
        <is>
          <t>Minor improvements only</t>
        </is>
      </c>
    </row>
    <row r="15">
      <c r="A15" s="19" t="inlineStr">
        <is>
          <t>50% - 79%</t>
        </is>
      </c>
      <c r="B15" s="19" t="inlineStr">
        <is>
          <t>Partial</t>
        </is>
      </c>
      <c r="C15" s="19" t="inlineStr">
        <is>
          <t>Yellow</t>
        </is>
      </c>
      <c r="D15" s="19" t="inlineStr">
        <is>
          <t>Priority fixes needed</t>
        </is>
      </c>
    </row>
    <row r="16">
      <c r="A16" s="19" t="inlineStr">
        <is>
          <t>&lt; 50%</t>
        </is>
      </c>
      <c r="B16" s="19" t="inlineStr">
        <is>
          <t>Non-Compliant</t>
        </is>
      </c>
      <c r="C16" s="19" t="inlineStr">
        <is>
          <t>Red</t>
        </is>
      </c>
      <c r="D16" s="19" t="inlineStr">
        <is>
          <t>Urgent action required</t>
        </is>
      </c>
    </row>
    <row r="17">
      <c r="A17" s="19" t="n"/>
    </row>
    <row r="18" ht="17.45" customHeight="1">
      <c r="A18" s="20" t="inlineStr">
        <is>
          <t>CHECKLIST QUESTIONS BY CATEGORY</t>
        </is>
      </c>
    </row>
    <row r="19">
      <c r="A19" s="19" t="n"/>
    </row>
    <row r="20">
      <c r="A20" s="22" t="inlineStr">
        <is>
          <t>Entrance &amp; Approach (6 questions)</t>
        </is>
      </c>
    </row>
    <row r="21">
      <c r="A21" s="19" t="inlineStr">
        <is>
          <t xml:space="preserve">  1. Is the main entrance step-free?</t>
        </is>
      </c>
    </row>
    <row r="22">
      <c r="A22" s="19" t="inlineStr">
        <is>
          <t xml:space="preserve">  2. Is a ramp available at the entrance?</t>
        </is>
      </c>
    </row>
    <row r="23">
      <c r="A23" s="19" t="inlineStr">
        <is>
          <t xml:space="preserve">  3. Is the ramp slope gentle enough for a wheelchair?</t>
        </is>
      </c>
    </row>
    <row r="24">
      <c r="A24" s="19" t="inlineStr">
        <is>
          <t xml:space="preserve">  4. Does the ramp have a non-slip surface?</t>
        </is>
      </c>
    </row>
    <row r="25">
      <c r="A25" s="19" t="inlineStr">
        <is>
          <t xml:space="preserve">  5. Are doors easy to open (light push or automatic)?</t>
        </is>
      </c>
    </row>
    <row r="26">
      <c r="A26" s="19" t="inlineStr">
        <is>
          <t xml:space="preserve">  6. Is the entrance wide enough for a wheelchair?</t>
        </is>
      </c>
    </row>
    <row r="27">
      <c r="A27" s="19" t="n"/>
    </row>
    <row r="28">
      <c r="A28" s="22" t="inlineStr">
        <is>
          <t>Lifts &amp; Stairs (6 questions)</t>
        </is>
      </c>
    </row>
    <row r="29">
      <c r="A29" s="19" t="inlineStr">
        <is>
          <t xml:space="preserve">  1. Is a lift / elevator available?</t>
        </is>
      </c>
    </row>
    <row r="30">
      <c r="A30" s="19" t="inlineStr">
        <is>
          <t xml:space="preserve">  2. Does the lift have Braille buttons?</t>
        </is>
      </c>
    </row>
    <row r="31">
      <c r="A31" s="19" t="inlineStr">
        <is>
          <t xml:space="preserve">  3. Does the lift announce floors (audio)?</t>
        </is>
      </c>
    </row>
    <row r="32">
      <c r="A32" s="19" t="inlineStr">
        <is>
          <t xml:space="preserve">  4. Can a wheelchair fit inside the lift?</t>
        </is>
      </c>
    </row>
    <row r="33">
      <c r="A33" s="19" t="inlineStr">
        <is>
          <t xml:space="preserve">  5. Do staircases have handrails on both sides?</t>
        </is>
      </c>
    </row>
    <row r="34">
      <c r="A34" s="19" t="inlineStr">
        <is>
          <t xml:space="preserve">  6. Do stair edges have warning strips?</t>
        </is>
      </c>
    </row>
    <row r="35">
      <c r="A35" s="19" t="n"/>
    </row>
    <row r="36">
      <c r="A36" s="22" t="inlineStr">
        <is>
          <t>Corridors &amp; Pathways (4 questions)</t>
        </is>
      </c>
    </row>
    <row r="37">
      <c r="A37" s="19" t="inlineStr">
        <is>
          <t xml:space="preserve">  1. Are corridors wide enough for a wheelchair?</t>
        </is>
      </c>
    </row>
    <row r="38">
      <c r="A38" s="19" t="inlineStr">
        <is>
          <t xml:space="preserve">  2. Is there enough space for a wheelchair to turn?</t>
        </is>
      </c>
    </row>
    <row r="39">
      <c r="A39" s="19" t="inlineStr">
        <is>
          <t xml:space="preserve">  3. Are pathways clear of obstacles?</t>
        </is>
      </c>
    </row>
    <row r="40">
      <c r="A40" s="19" t="inlineStr">
        <is>
          <t xml:space="preserve">  4. Is the flooring non-slip?</t>
        </is>
      </c>
    </row>
    <row r="41">
      <c r="A41" s="19" t="n"/>
    </row>
    <row r="42">
      <c r="A42" s="22" t="inlineStr">
        <is>
          <t>Signage &amp; Wayfinding (4 questions)</t>
        </is>
      </c>
    </row>
    <row r="43">
      <c r="A43" s="19" t="inlineStr">
        <is>
          <t xml:space="preserve">  1. Is Braille signage available at rooms / floors?</t>
        </is>
      </c>
    </row>
    <row r="44">
      <c r="A44" s="19" t="inlineStr">
        <is>
          <t xml:space="preserve">  2. Is the disability symbol displayed?</t>
        </is>
      </c>
    </row>
    <row r="45">
      <c r="A45" s="19" t="inlineStr">
        <is>
          <t xml:space="preserve">  3. Is a floor directory / map at the entrance?</t>
        </is>
      </c>
    </row>
    <row r="46">
      <c r="A46" s="19" t="inlineStr">
        <is>
          <t xml:space="preserve">  4. Are room numbers placed at a readable height?</t>
        </is>
      </c>
    </row>
    <row r="47">
      <c r="A47" s="19" t="n"/>
    </row>
    <row r="48">
      <c r="A48" s="22" t="inlineStr">
        <is>
          <t>Washroom Accessibility (6 questions)</t>
        </is>
      </c>
    </row>
    <row r="49">
      <c r="A49" s="19" t="inlineStr">
        <is>
          <t xml:space="preserve">  1. Is an accessible washroom available?</t>
        </is>
      </c>
    </row>
    <row r="50">
      <c r="A50" s="19" t="inlineStr">
        <is>
          <t xml:space="preserve">  2. Is the washroom door wide enough for a wheelchair?</t>
        </is>
      </c>
    </row>
    <row r="51">
      <c r="A51" s="19" t="inlineStr">
        <is>
          <t xml:space="preserve">  3. Are grab bars installed in the washroom?</t>
        </is>
      </c>
    </row>
    <row r="52">
      <c r="A52" s="19" t="inlineStr">
        <is>
          <t xml:space="preserve">  4. Does the accessible washroom have proper signage?</t>
        </is>
      </c>
    </row>
    <row r="53">
      <c r="A53" s="19" t="inlineStr">
        <is>
          <t xml:space="preserve">  5. Is the wash basin at a reachable height?</t>
        </is>
      </c>
    </row>
    <row r="54" ht="28.9" customHeight="1">
      <c r="A54" s="19" t="inlineStr">
        <is>
          <t xml:space="preserve">  6. Is there an emergency alarm in the accessible washroom?</t>
        </is>
      </c>
    </row>
    <row r="55">
      <c r="A55" s="19" t="n"/>
    </row>
    <row r="56">
      <c r="A56" s="22" t="inlineStr">
        <is>
          <t>Emergency &amp; Safety (5 questions)</t>
        </is>
      </c>
    </row>
    <row r="57">
      <c r="A57" s="19" t="inlineStr">
        <is>
          <t xml:space="preserve">  1. Is there an accessible emergency exit?</t>
        </is>
      </c>
    </row>
    <row r="58">
      <c r="A58" s="19" t="inlineStr">
        <is>
          <t xml:space="preserve">  2. Is a visual fire alarm (flashing light) available?</t>
        </is>
      </c>
    </row>
    <row r="59">
      <c r="A59" s="19" t="inlineStr">
        <is>
          <t xml:space="preserve">  3. Is an audible fire alarm available?</t>
        </is>
      </c>
    </row>
    <row r="60">
      <c r="A60" s="19" t="inlineStr">
        <is>
          <t xml:space="preserve">  4. Is there an evacuation plan for disabled persons?</t>
        </is>
      </c>
    </row>
    <row r="61">
      <c r="A61" s="19" t="inlineStr">
        <is>
          <t xml:space="preserve">  5. Is a safe waiting area available on each floor?</t>
        </is>
      </c>
    </row>
    <row r="62">
      <c r="A62" s="19" t="n"/>
    </row>
    <row r="63">
      <c r="A63" s="22" t="inlineStr">
        <is>
          <t>Classroom &amp; Furniture (3 questions)</t>
        </is>
      </c>
    </row>
    <row r="64">
      <c r="A64" s="19" t="inlineStr">
        <is>
          <t xml:space="preserve">  1. Are wheelchair-friendly desks / tables available?</t>
        </is>
      </c>
    </row>
    <row r="65">
      <c r="A65" s="19" t="inlineStr">
        <is>
          <t xml:space="preserve">  2. Is there accessible seating (front row / aisle)?</t>
        </is>
      </c>
    </row>
    <row r="66">
      <c r="A66" s="19" t="inlineStr">
        <is>
          <t xml:space="preserve">  3. Is the classroom well-lit?</t>
        </is>
      </c>
    </row>
    <row r="67">
      <c r="A67" s="19" t="n"/>
    </row>
    <row r="68">
      <c r="A68" s="22" t="inlineStr">
        <is>
          <t>External &amp; Common Facilities (4 questions)</t>
        </is>
      </c>
    </row>
    <row r="69">
      <c r="A69" s="19" t="inlineStr">
        <is>
          <t xml:space="preserve">  1. Is accessible parking available?</t>
        </is>
      </c>
    </row>
    <row r="70">
      <c r="A70" s="19" t="inlineStr">
        <is>
          <t xml:space="preserve">  2. Is there an accessible path from parking to entrance?</t>
        </is>
      </c>
    </row>
    <row r="71" ht="28.9" customHeight="1">
      <c r="A71" s="19" t="inlineStr">
        <is>
          <t xml:space="preserve">  3. Is the drinking water facility reachable from a wheelchair?</t>
        </is>
      </c>
    </row>
    <row r="72">
      <c r="A72" s="19" t="inlineStr">
        <is>
          <t xml:space="preserve">  4. Is the canteen counter accessible?</t>
        </is>
      </c>
    </row>
    <row r="73">
      <c r="A73" s="19" t="n"/>
    </row>
    <row r="74" ht="17.45" customHeight="1">
      <c r="A74" s="20" t="inlineStr">
        <is>
          <t>AUDIT INSTRUCTIONS</t>
        </is>
      </c>
    </row>
    <row r="75" ht="28.9" customHeight="1">
      <c r="A75" s="19" t="inlineStr">
        <is>
          <t>1. Walk through each building with this sheet open on your phone/laptop.</t>
        </is>
      </c>
    </row>
    <row r="76" ht="28.9" customHeight="1">
      <c r="A76" s="19" t="inlineStr">
        <is>
          <t>2. For each question, select Yes, No, Partial, or NA from the dropdown.</t>
        </is>
      </c>
    </row>
    <row r="77" ht="28.9" customHeight="1">
      <c r="A77" s="19" t="inlineStr">
        <is>
          <t>3. Take photos as evidence (name: BuildingName_QuestionNumber.jpg).</t>
        </is>
      </c>
    </row>
    <row r="78">
      <c r="A78" s="19" t="inlineStr">
        <is>
          <t>4. Add specific observations in the Remarks column.</t>
        </is>
      </c>
    </row>
    <row r="79" ht="28.9" customHeight="1">
      <c r="A79" s="19" t="inlineStr">
        <is>
          <t>5. Scores are calculated automatically - no manual math needed.</t>
        </is>
      </c>
    </row>
    <row r="80">
      <c r="A80" s="19" t="n"/>
    </row>
    <row r="81" ht="17.45" customHeight="1">
      <c r="A81" s="20" t="inlineStr">
        <is>
          <t>LEGAL FRAMEWORK</t>
        </is>
      </c>
    </row>
    <row r="82">
      <c r="A82" s="19" t="inlineStr">
        <is>
          <t>- Rights of Persons with Disabilities (RPWD) Act, 2016</t>
        </is>
      </c>
    </row>
    <row r="83">
      <c r="A83" s="19" t="inlineStr">
        <is>
          <t>- National Building Code (NBC) 2016</t>
        </is>
      </c>
    </row>
    <row r="84">
      <c r="A84" s="19" t="inlineStr">
        <is>
          <t>- BIS IS 11942:2015 Accessibility Guidelines</t>
        </is>
      </c>
    </row>
    <row r="85">
      <c r="A85" s="19" t="inlineStr">
        <is>
          <t>- WCAG 2.1 AA (for digital signage)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2026-09-24T08:58:27Z</dcterms:created>
  <dcterms:modified xsi:type="dcterms:W3CDTF">2026-09-26T05:23:27Z</dcterms:modified>
  <cp:lastModifiedBy>Guest User</cp:lastModifiedBy>
</cp:coreProperties>
</file>