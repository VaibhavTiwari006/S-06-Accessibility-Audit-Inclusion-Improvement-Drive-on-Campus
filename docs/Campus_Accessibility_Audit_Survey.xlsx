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aibhav\Desktop\AccessAudit\docs\"/>
    </mc:Choice>
  </mc:AlternateContent>
  <xr:revisionPtr revIDLastSave="0" documentId="13_ncr:1_{FAEF07FD-0366-445C-8B2A-F47816FF7DC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w Audit Data" sheetId="1" r:id="rId1"/>
    <sheet name="Category Summary" sheetId="2" r:id="rId2"/>
    <sheet name="Block-wise Summary" sheetId="3" r:id="rId3"/>
    <sheet name="Scoring Guid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0" i="2" l="1"/>
  <c r="AZ31" i="1"/>
  <c r="BA31" i="1" s="1"/>
  <c r="M30" i="2" s="1"/>
  <c r="AY31" i="1"/>
  <c r="K30" i="2" s="1"/>
  <c r="AX31" i="1"/>
  <c r="J30" i="2" s="1"/>
  <c r="AW31" i="1"/>
  <c r="I30" i="2" s="1"/>
  <c r="AV31" i="1"/>
  <c r="H30" i="2" s="1"/>
  <c r="AU31" i="1"/>
  <c r="G30" i="2" s="1"/>
  <c r="AT31" i="1"/>
  <c r="F30" i="2" s="1"/>
  <c r="AS31" i="1"/>
  <c r="E30" i="2" s="1"/>
  <c r="AR31" i="1"/>
  <c r="D30" i="2" s="1"/>
  <c r="AZ30" i="1"/>
  <c r="AY30" i="1"/>
  <c r="K29" i="2" s="1"/>
  <c r="AX30" i="1"/>
  <c r="J29" i="2" s="1"/>
  <c r="AW30" i="1"/>
  <c r="I29" i="2" s="1"/>
  <c r="AV30" i="1"/>
  <c r="H29" i="2" s="1"/>
  <c r="AU30" i="1"/>
  <c r="G29" i="2" s="1"/>
  <c r="AT30" i="1"/>
  <c r="F29" i="2" s="1"/>
  <c r="AS30" i="1"/>
  <c r="E29" i="2" s="1"/>
  <c r="AR30" i="1"/>
  <c r="D29" i="2" s="1"/>
  <c r="AZ29" i="1"/>
  <c r="AY29" i="1"/>
  <c r="K28" i="2" s="1"/>
  <c r="J8" i="3" s="1"/>
  <c r="AX29" i="1"/>
  <c r="J28" i="2" s="1"/>
  <c r="I8" i="3" s="1"/>
  <c r="AW29" i="1"/>
  <c r="I28" i="2" s="1"/>
  <c r="H8" i="3" s="1"/>
  <c r="AV29" i="1"/>
  <c r="H28" i="2" s="1"/>
  <c r="G8" i="3" s="1"/>
  <c r="AU29" i="1"/>
  <c r="G28" i="2" s="1"/>
  <c r="F8" i="3" s="1"/>
  <c r="AT29" i="1"/>
  <c r="F28" i="2" s="1"/>
  <c r="E8" i="3" s="1"/>
  <c r="AS29" i="1"/>
  <c r="E28" i="2" s="1"/>
  <c r="D8" i="3" s="1"/>
  <c r="AR29" i="1"/>
  <c r="D28" i="2" s="1"/>
  <c r="C8" i="3" s="1"/>
  <c r="AZ28" i="1"/>
  <c r="AY28" i="1"/>
  <c r="K27" i="2" s="1"/>
  <c r="AX28" i="1"/>
  <c r="J27" i="2" s="1"/>
  <c r="AW28" i="1"/>
  <c r="I27" i="2" s="1"/>
  <c r="AV28" i="1"/>
  <c r="H27" i="2" s="1"/>
  <c r="AU28" i="1"/>
  <c r="G27" i="2" s="1"/>
  <c r="AT28" i="1"/>
  <c r="F27" i="2" s="1"/>
  <c r="AS28" i="1"/>
  <c r="E27" i="2" s="1"/>
  <c r="AR28" i="1"/>
  <c r="D27" i="2" s="1"/>
  <c r="AZ27" i="1"/>
  <c r="AY27" i="1"/>
  <c r="K26" i="2" s="1"/>
  <c r="AX27" i="1"/>
  <c r="J26" i="2" s="1"/>
  <c r="AW27" i="1"/>
  <c r="I26" i="2" s="1"/>
  <c r="AV27" i="1"/>
  <c r="H26" i="2" s="1"/>
  <c r="AU27" i="1"/>
  <c r="G26" i="2" s="1"/>
  <c r="AT27" i="1"/>
  <c r="F26" i="2" s="1"/>
  <c r="AS27" i="1"/>
  <c r="E26" i="2" s="1"/>
  <c r="AR27" i="1"/>
  <c r="D26" i="2" s="1"/>
  <c r="AZ26" i="1"/>
  <c r="AY26" i="1"/>
  <c r="K25" i="2" s="1"/>
  <c r="AX26" i="1"/>
  <c r="J25" i="2" s="1"/>
  <c r="AW26" i="1"/>
  <c r="I25" i="2" s="1"/>
  <c r="AV26" i="1"/>
  <c r="H25" i="2" s="1"/>
  <c r="AU26" i="1"/>
  <c r="G25" i="2" s="1"/>
  <c r="AT26" i="1"/>
  <c r="F25" i="2" s="1"/>
  <c r="AS26" i="1"/>
  <c r="E25" i="2" s="1"/>
  <c r="AR26" i="1"/>
  <c r="D25" i="2" s="1"/>
  <c r="AZ25" i="1"/>
  <c r="AY25" i="1"/>
  <c r="K24" i="2" s="1"/>
  <c r="AX25" i="1"/>
  <c r="J24" i="2" s="1"/>
  <c r="AW25" i="1"/>
  <c r="I24" i="2" s="1"/>
  <c r="AV25" i="1"/>
  <c r="H24" i="2" s="1"/>
  <c r="AU25" i="1"/>
  <c r="G24" i="2" s="1"/>
  <c r="AT25" i="1"/>
  <c r="F24" i="2" s="1"/>
  <c r="AS25" i="1"/>
  <c r="E24" i="2" s="1"/>
  <c r="AR25" i="1"/>
  <c r="D24" i="2" s="1"/>
  <c r="AZ24" i="1"/>
  <c r="AY24" i="1"/>
  <c r="K23" i="2" s="1"/>
  <c r="J7" i="3" s="1"/>
  <c r="AX24" i="1"/>
  <c r="J23" i="2" s="1"/>
  <c r="I7" i="3" s="1"/>
  <c r="AW24" i="1"/>
  <c r="I23" i="2" s="1"/>
  <c r="H7" i="3" s="1"/>
  <c r="AV24" i="1"/>
  <c r="H23" i="2" s="1"/>
  <c r="AU24" i="1"/>
  <c r="G23" i="2" s="1"/>
  <c r="AT24" i="1"/>
  <c r="F23" i="2" s="1"/>
  <c r="E7" i="3" s="1"/>
  <c r="AS24" i="1"/>
  <c r="E23" i="2" s="1"/>
  <c r="D7" i="3" s="1"/>
  <c r="AR24" i="1"/>
  <c r="D23" i="2" s="1"/>
  <c r="C7" i="3" s="1"/>
  <c r="AZ23" i="1"/>
  <c r="AY23" i="1"/>
  <c r="K22" i="2" s="1"/>
  <c r="AX23" i="1"/>
  <c r="J22" i="2" s="1"/>
  <c r="AW23" i="1"/>
  <c r="I22" i="2" s="1"/>
  <c r="AV23" i="1"/>
  <c r="H22" i="2" s="1"/>
  <c r="AU23" i="1"/>
  <c r="G22" i="2" s="1"/>
  <c r="AT23" i="1"/>
  <c r="F22" i="2" s="1"/>
  <c r="AS23" i="1"/>
  <c r="E22" i="2" s="1"/>
  <c r="AR23" i="1"/>
  <c r="D22" i="2" s="1"/>
  <c r="AZ22" i="1"/>
  <c r="AY22" i="1"/>
  <c r="K21" i="2" s="1"/>
  <c r="AX22" i="1"/>
  <c r="J21" i="2" s="1"/>
  <c r="AW22" i="1"/>
  <c r="I21" i="2" s="1"/>
  <c r="AV22" i="1"/>
  <c r="H21" i="2" s="1"/>
  <c r="AU22" i="1"/>
  <c r="G21" i="2" s="1"/>
  <c r="AT22" i="1"/>
  <c r="F21" i="2" s="1"/>
  <c r="AS22" i="1"/>
  <c r="E21" i="2" s="1"/>
  <c r="AR22" i="1"/>
  <c r="D21" i="2" s="1"/>
  <c r="AZ21" i="1"/>
  <c r="AY21" i="1"/>
  <c r="K20" i="2" s="1"/>
  <c r="AX21" i="1"/>
  <c r="J20" i="2" s="1"/>
  <c r="AW21" i="1"/>
  <c r="I20" i="2" s="1"/>
  <c r="AV21" i="1"/>
  <c r="H20" i="2" s="1"/>
  <c r="AU21" i="1"/>
  <c r="G20" i="2" s="1"/>
  <c r="AT21" i="1"/>
  <c r="F20" i="2" s="1"/>
  <c r="AS21" i="1"/>
  <c r="E20" i="2" s="1"/>
  <c r="AR21" i="1"/>
  <c r="D20" i="2" s="1"/>
  <c r="AZ20" i="1"/>
  <c r="AY20" i="1"/>
  <c r="K19" i="2" s="1"/>
  <c r="AX20" i="1"/>
  <c r="J19" i="2" s="1"/>
  <c r="AW20" i="1"/>
  <c r="I19" i="2" s="1"/>
  <c r="AV20" i="1"/>
  <c r="H19" i="2" s="1"/>
  <c r="AU20" i="1"/>
  <c r="G19" i="2" s="1"/>
  <c r="AT20" i="1"/>
  <c r="F19" i="2" s="1"/>
  <c r="AS20" i="1"/>
  <c r="E19" i="2" s="1"/>
  <c r="AR20" i="1"/>
  <c r="D19" i="2" s="1"/>
  <c r="AZ19" i="1"/>
  <c r="AY19" i="1"/>
  <c r="K18" i="2" s="1"/>
  <c r="J5" i="3" s="1"/>
  <c r="AX19" i="1"/>
  <c r="J18" i="2" s="1"/>
  <c r="I5" i="3" s="1"/>
  <c r="AW19" i="1"/>
  <c r="I18" i="2" s="1"/>
  <c r="H5" i="3" s="1"/>
  <c r="AV19" i="1"/>
  <c r="H18" i="2" s="1"/>
  <c r="G5" i="3" s="1"/>
  <c r="AU19" i="1"/>
  <c r="G18" i="2" s="1"/>
  <c r="F5" i="3" s="1"/>
  <c r="AT19" i="1"/>
  <c r="F18" i="2" s="1"/>
  <c r="E5" i="3" s="1"/>
  <c r="AS19" i="1"/>
  <c r="E18" i="2" s="1"/>
  <c r="D5" i="3" s="1"/>
  <c r="AR19" i="1"/>
  <c r="D18" i="2" s="1"/>
  <c r="C5" i="3" s="1"/>
  <c r="AZ18" i="1"/>
  <c r="AY18" i="1"/>
  <c r="K17" i="2" s="1"/>
  <c r="AX18" i="1"/>
  <c r="J17" i="2" s="1"/>
  <c r="AW18" i="1"/>
  <c r="I17" i="2" s="1"/>
  <c r="AV18" i="1"/>
  <c r="H17" i="2" s="1"/>
  <c r="AU18" i="1"/>
  <c r="G17" i="2" s="1"/>
  <c r="AT18" i="1"/>
  <c r="F17" i="2" s="1"/>
  <c r="AS18" i="1"/>
  <c r="E17" i="2" s="1"/>
  <c r="AR18" i="1"/>
  <c r="D17" i="2" s="1"/>
  <c r="AZ17" i="1"/>
  <c r="AY17" i="1"/>
  <c r="K16" i="2" s="1"/>
  <c r="AX17" i="1"/>
  <c r="J16" i="2" s="1"/>
  <c r="AW17" i="1"/>
  <c r="I16" i="2" s="1"/>
  <c r="AV17" i="1"/>
  <c r="H16" i="2" s="1"/>
  <c r="AU17" i="1"/>
  <c r="G16" i="2" s="1"/>
  <c r="AT17" i="1"/>
  <c r="F16" i="2" s="1"/>
  <c r="AS17" i="1"/>
  <c r="E16" i="2" s="1"/>
  <c r="AR17" i="1"/>
  <c r="D16" i="2" s="1"/>
  <c r="AZ16" i="1"/>
  <c r="AY16" i="1"/>
  <c r="K15" i="2" s="1"/>
  <c r="AX16" i="1"/>
  <c r="J15" i="2" s="1"/>
  <c r="AW16" i="1"/>
  <c r="I15" i="2" s="1"/>
  <c r="AV16" i="1"/>
  <c r="H15" i="2" s="1"/>
  <c r="AU16" i="1"/>
  <c r="G15" i="2" s="1"/>
  <c r="AT16" i="1"/>
  <c r="F15" i="2" s="1"/>
  <c r="AS16" i="1"/>
  <c r="E15" i="2" s="1"/>
  <c r="AR16" i="1"/>
  <c r="D15" i="2" s="1"/>
  <c r="AZ15" i="1"/>
  <c r="AY15" i="1"/>
  <c r="K14" i="2" s="1"/>
  <c r="AX15" i="1"/>
  <c r="J14" i="2" s="1"/>
  <c r="AW15" i="1"/>
  <c r="I14" i="2" s="1"/>
  <c r="AV15" i="1"/>
  <c r="H14" i="2" s="1"/>
  <c r="AU15" i="1"/>
  <c r="G14" i="2" s="1"/>
  <c r="AT15" i="1"/>
  <c r="F14" i="2" s="1"/>
  <c r="AS15" i="1"/>
  <c r="E14" i="2" s="1"/>
  <c r="AR15" i="1"/>
  <c r="D14" i="2" s="1"/>
  <c r="AZ14" i="1"/>
  <c r="AY14" i="1"/>
  <c r="K13" i="2" s="1"/>
  <c r="AX14" i="1"/>
  <c r="J13" i="2" s="1"/>
  <c r="AW14" i="1"/>
  <c r="I13" i="2" s="1"/>
  <c r="AV14" i="1"/>
  <c r="H13" i="2" s="1"/>
  <c r="AU14" i="1"/>
  <c r="G13" i="2" s="1"/>
  <c r="AT14" i="1"/>
  <c r="F13" i="2" s="1"/>
  <c r="AS14" i="1"/>
  <c r="E13" i="2" s="1"/>
  <c r="AR14" i="1"/>
  <c r="D13" i="2" s="1"/>
  <c r="AZ13" i="1"/>
  <c r="AY13" i="1"/>
  <c r="K12" i="2" s="1"/>
  <c r="AX13" i="1"/>
  <c r="J12" i="2" s="1"/>
  <c r="AW13" i="1"/>
  <c r="I12" i="2" s="1"/>
  <c r="AV13" i="1"/>
  <c r="H12" i="2" s="1"/>
  <c r="AU13" i="1"/>
  <c r="G12" i="2" s="1"/>
  <c r="AT13" i="1"/>
  <c r="F12" i="2" s="1"/>
  <c r="AS13" i="1"/>
  <c r="E12" i="2" s="1"/>
  <c r="AR13" i="1"/>
  <c r="D12" i="2" s="1"/>
  <c r="AZ12" i="1"/>
  <c r="AY12" i="1"/>
  <c r="K11" i="2" s="1"/>
  <c r="AX12" i="1"/>
  <c r="J11" i="2" s="1"/>
  <c r="AW12" i="1"/>
  <c r="I11" i="2" s="1"/>
  <c r="AV12" i="1"/>
  <c r="H11" i="2" s="1"/>
  <c r="AU12" i="1"/>
  <c r="G11" i="2" s="1"/>
  <c r="AT12" i="1"/>
  <c r="F11" i="2" s="1"/>
  <c r="AS12" i="1"/>
  <c r="E11" i="2" s="1"/>
  <c r="AR12" i="1"/>
  <c r="D11" i="2" s="1"/>
  <c r="AZ11" i="1"/>
  <c r="AY11" i="1"/>
  <c r="K10" i="2" s="1"/>
  <c r="J4" i="3" s="1"/>
  <c r="AX11" i="1"/>
  <c r="J10" i="2" s="1"/>
  <c r="I4" i="3" s="1"/>
  <c r="AW11" i="1"/>
  <c r="I10" i="2" s="1"/>
  <c r="H4" i="3" s="1"/>
  <c r="AV11" i="1"/>
  <c r="H10" i="2" s="1"/>
  <c r="G4" i="3" s="1"/>
  <c r="AU11" i="1"/>
  <c r="G10" i="2" s="1"/>
  <c r="F4" i="3" s="1"/>
  <c r="AT11" i="1"/>
  <c r="F10" i="2" s="1"/>
  <c r="E4" i="3" s="1"/>
  <c r="AS11" i="1"/>
  <c r="E10" i="2" s="1"/>
  <c r="D4" i="3" s="1"/>
  <c r="AR11" i="1"/>
  <c r="D10" i="2" s="1"/>
  <c r="AZ10" i="1"/>
  <c r="AY10" i="1"/>
  <c r="K9" i="2" s="1"/>
  <c r="AX10" i="1"/>
  <c r="J9" i="2" s="1"/>
  <c r="AW10" i="1"/>
  <c r="I9" i="2" s="1"/>
  <c r="AV10" i="1"/>
  <c r="H9" i="2" s="1"/>
  <c r="AU10" i="1"/>
  <c r="G9" i="2" s="1"/>
  <c r="AT10" i="1"/>
  <c r="F9" i="2" s="1"/>
  <c r="AS10" i="1"/>
  <c r="E9" i="2" s="1"/>
  <c r="AR10" i="1"/>
  <c r="D9" i="2" s="1"/>
  <c r="AZ9" i="1"/>
  <c r="AY9" i="1"/>
  <c r="K8" i="2" s="1"/>
  <c r="AX9" i="1"/>
  <c r="J8" i="2" s="1"/>
  <c r="AW9" i="1"/>
  <c r="I8" i="2" s="1"/>
  <c r="AV9" i="1"/>
  <c r="H8" i="2" s="1"/>
  <c r="AU9" i="1"/>
  <c r="G8" i="2" s="1"/>
  <c r="AT9" i="1"/>
  <c r="F8" i="2" s="1"/>
  <c r="AS9" i="1"/>
  <c r="E8" i="2" s="1"/>
  <c r="AR9" i="1"/>
  <c r="D8" i="2" s="1"/>
  <c r="AZ8" i="1"/>
  <c r="AY8" i="1"/>
  <c r="K7" i="2" s="1"/>
  <c r="AX8" i="1"/>
  <c r="J7" i="2" s="1"/>
  <c r="AW8" i="1"/>
  <c r="I7" i="2" s="1"/>
  <c r="AV8" i="1"/>
  <c r="H7" i="2" s="1"/>
  <c r="AU8" i="1"/>
  <c r="G7" i="2" s="1"/>
  <c r="AT8" i="1"/>
  <c r="F7" i="2" s="1"/>
  <c r="AS8" i="1"/>
  <c r="E7" i="2" s="1"/>
  <c r="AR8" i="1"/>
  <c r="D7" i="2" s="1"/>
  <c r="AZ7" i="1"/>
  <c r="AY7" i="1"/>
  <c r="K6" i="2" s="1"/>
  <c r="AX7" i="1"/>
  <c r="J6" i="2" s="1"/>
  <c r="AW7" i="1"/>
  <c r="I6" i="2" s="1"/>
  <c r="AV7" i="1"/>
  <c r="H6" i="2" s="1"/>
  <c r="AU7" i="1"/>
  <c r="G6" i="2" s="1"/>
  <c r="AT7" i="1"/>
  <c r="F6" i="2" s="1"/>
  <c r="AS7" i="1"/>
  <c r="E6" i="2" s="1"/>
  <c r="AR7" i="1"/>
  <c r="D6" i="2" s="1"/>
  <c r="AZ6" i="1"/>
  <c r="AY6" i="1"/>
  <c r="K5" i="2" s="1"/>
  <c r="AX6" i="1"/>
  <c r="J5" i="2" s="1"/>
  <c r="I3" i="3" s="1"/>
  <c r="AW6" i="1"/>
  <c r="I5" i="2" s="1"/>
  <c r="H3" i="3" s="1"/>
  <c r="AV6" i="1"/>
  <c r="H5" i="2" s="1"/>
  <c r="G3" i="3" s="1"/>
  <c r="AU6" i="1"/>
  <c r="G5" i="2" s="1"/>
  <c r="F3" i="3" s="1"/>
  <c r="AT6" i="1"/>
  <c r="F5" i="2" s="1"/>
  <c r="E3" i="3" s="1"/>
  <c r="AS6" i="1"/>
  <c r="E5" i="2" s="1"/>
  <c r="D3" i="3" s="1"/>
  <c r="AR6" i="1"/>
  <c r="D5" i="2" s="1"/>
  <c r="AZ5" i="1"/>
  <c r="AY5" i="1"/>
  <c r="K4" i="2" s="1"/>
  <c r="AX5" i="1"/>
  <c r="J4" i="2" s="1"/>
  <c r="AW5" i="1"/>
  <c r="I4" i="2" s="1"/>
  <c r="AV5" i="1"/>
  <c r="H4" i="2" s="1"/>
  <c r="AU5" i="1"/>
  <c r="G4" i="2" s="1"/>
  <c r="AT5" i="1"/>
  <c r="F4" i="2" s="1"/>
  <c r="AS5" i="1"/>
  <c r="E4" i="2" s="1"/>
  <c r="AR5" i="1"/>
  <c r="D4" i="2" s="1"/>
  <c r="AZ4" i="1"/>
  <c r="AY4" i="1"/>
  <c r="K3" i="2" s="1"/>
  <c r="AX4" i="1"/>
  <c r="J3" i="2" s="1"/>
  <c r="AW4" i="1"/>
  <c r="I3" i="2" s="1"/>
  <c r="AV4" i="1"/>
  <c r="H3" i="2" s="1"/>
  <c r="AU4" i="1"/>
  <c r="G3" i="2" s="1"/>
  <c r="AT4" i="1"/>
  <c r="F3" i="2" s="1"/>
  <c r="AS4" i="1"/>
  <c r="E3" i="2" s="1"/>
  <c r="AR4" i="1"/>
  <c r="D3" i="2" s="1"/>
  <c r="AZ3" i="1"/>
  <c r="AY3" i="1"/>
  <c r="K2" i="2" s="1"/>
  <c r="J2" i="3" s="1"/>
  <c r="AX3" i="1"/>
  <c r="J2" i="2" s="1"/>
  <c r="I2" i="3" s="1"/>
  <c r="AW3" i="1"/>
  <c r="I2" i="2" s="1"/>
  <c r="H2" i="3" s="1"/>
  <c r="AV3" i="1"/>
  <c r="H2" i="2" s="1"/>
  <c r="G2" i="3" s="1"/>
  <c r="AU3" i="1"/>
  <c r="G2" i="2" s="1"/>
  <c r="F2" i="3" s="1"/>
  <c r="AT3" i="1"/>
  <c r="F2" i="2" s="1"/>
  <c r="E2" i="3" s="1"/>
  <c r="AS3" i="1"/>
  <c r="E2" i="2" s="1"/>
  <c r="D2" i="3" s="1"/>
  <c r="AR3" i="1"/>
  <c r="D2" i="2" s="1"/>
  <c r="C4" i="3" l="1"/>
  <c r="L12" i="2"/>
  <c r="BA13" i="1"/>
  <c r="M12" i="2" s="1"/>
  <c r="C2" i="3"/>
  <c r="C3" i="3"/>
  <c r="BA30" i="1"/>
  <c r="M29" i="2" s="1"/>
  <c r="L29" i="2"/>
  <c r="BA29" i="1"/>
  <c r="M28" i="2" s="1"/>
  <c r="L28" i="2"/>
  <c r="K8" i="3" s="1"/>
  <c r="L8" i="3" s="1"/>
  <c r="L27" i="2"/>
  <c r="BA28" i="1"/>
  <c r="M27" i="2" s="1"/>
  <c r="BA27" i="1"/>
  <c r="M26" i="2" s="1"/>
  <c r="L26" i="2"/>
  <c r="L25" i="2"/>
  <c r="BA26" i="1"/>
  <c r="M25" i="2" s="1"/>
  <c r="L24" i="2"/>
  <c r="BA25" i="1"/>
  <c r="M24" i="2" s="1"/>
  <c r="BA24" i="1"/>
  <c r="M23" i="2" s="1"/>
  <c r="L23" i="2"/>
  <c r="BA23" i="1"/>
  <c r="M22" i="2" s="1"/>
  <c r="L22" i="2"/>
  <c r="L21" i="2"/>
  <c r="BA22" i="1"/>
  <c r="M21" i="2" s="1"/>
  <c r="L20" i="2"/>
  <c r="K6" i="3" s="1"/>
  <c r="L6" i="3" s="1"/>
  <c r="BA21" i="1"/>
  <c r="M20" i="2" s="1"/>
  <c r="BA20" i="1"/>
  <c r="M19" i="2" s="1"/>
  <c r="L19" i="2"/>
  <c r="BA19" i="1"/>
  <c r="M18" i="2" s="1"/>
  <c r="L18" i="2"/>
  <c r="K5" i="3" s="1"/>
  <c r="L5" i="3" s="1"/>
  <c r="L17" i="2"/>
  <c r="BA18" i="1"/>
  <c r="M17" i="2" s="1"/>
  <c r="L16" i="2"/>
  <c r="BA17" i="1"/>
  <c r="M16" i="2" s="1"/>
  <c r="L15" i="2"/>
  <c r="BA16" i="1"/>
  <c r="M15" i="2" s="1"/>
  <c r="BA15" i="1"/>
  <c r="M14" i="2" s="1"/>
  <c r="L14" i="2"/>
  <c r="BA14" i="1"/>
  <c r="M13" i="2" s="1"/>
  <c r="L13" i="2"/>
  <c r="L11" i="2"/>
  <c r="BA12" i="1"/>
  <c r="M11" i="2" s="1"/>
  <c r="L10" i="2"/>
  <c r="BA11" i="1"/>
  <c r="M10" i="2" s="1"/>
  <c r="L9" i="2"/>
  <c r="BA10" i="1"/>
  <c r="M9" i="2" s="1"/>
  <c r="BA9" i="1"/>
  <c r="M8" i="2" s="1"/>
  <c r="L8" i="2"/>
  <c r="L7" i="2"/>
  <c r="BA8" i="1"/>
  <c r="M7" i="2" s="1"/>
  <c r="BA7" i="1"/>
  <c r="M6" i="2" s="1"/>
  <c r="L6" i="2"/>
  <c r="L5" i="2"/>
  <c r="BA6" i="1"/>
  <c r="M5" i="2" s="1"/>
  <c r="L4" i="2"/>
  <c r="BA5" i="1"/>
  <c r="M4" i="2" s="1"/>
  <c r="L3" i="2"/>
  <c r="BA4" i="1"/>
  <c r="M3" i="2" s="1"/>
  <c r="BA3" i="1"/>
  <c r="M2" i="2" s="1"/>
  <c r="L2" i="2"/>
  <c r="G7" i="3"/>
  <c r="F7" i="3"/>
  <c r="J6" i="3"/>
  <c r="I6" i="3"/>
  <c r="H6" i="3"/>
  <c r="G6" i="3"/>
  <c r="F6" i="3"/>
  <c r="E6" i="3"/>
  <c r="D6" i="3"/>
  <c r="C6" i="3"/>
  <c r="J3" i="3"/>
  <c r="K2" i="3" l="1"/>
  <c r="L2" i="3" s="1"/>
  <c r="K3" i="3"/>
  <c r="L3" i="3" s="1"/>
  <c r="K7" i="3"/>
  <c r="L7" i="3" s="1"/>
  <c r="K4" i="3"/>
  <c r="L4" i="3" s="1"/>
</calcChain>
</file>

<file path=xl/sharedStrings.xml><?xml version="1.0" encoding="utf-8"?>
<sst xmlns="http://schemas.openxmlformats.org/spreadsheetml/2006/main" count="383" uniqueCount="208">
  <si>
    <t>S.No</t>
  </si>
  <si>
    <t>Building Name</t>
  </si>
  <si>
    <t>Block / Zone</t>
  </si>
  <si>
    <t>Auditor Name</t>
  </si>
  <si>
    <t>Audit Date</t>
  </si>
  <si>
    <t>Entrance &amp; Approach</t>
  </si>
  <si>
    <t>Lifts &amp; Stairs</t>
  </si>
  <si>
    <t>Corridors &amp; Pathways</t>
  </si>
  <si>
    <t>Signage &amp; Wayfinding</t>
  </si>
  <si>
    <t>Washroom Accessibility</t>
  </si>
  <si>
    <t>Emergency &amp; Safety</t>
  </si>
  <si>
    <t>Classroom &amp; Furniture</t>
  </si>
  <si>
    <t>External &amp; Common Facilities</t>
  </si>
  <si>
    <t>Entrance &amp; Approach Score %</t>
  </si>
  <si>
    <t>Lifts &amp; Stairs Score %</t>
  </si>
  <si>
    <t>Corridors &amp; Pathways Score %</t>
  </si>
  <si>
    <t>Signage &amp; Wayfinding Score %</t>
  </si>
  <si>
    <t>Washroom Accessibility Score %</t>
  </si>
  <si>
    <t>Emergency &amp; Safety Score %</t>
  </si>
  <si>
    <t>Classroom &amp; Furniture Score %</t>
  </si>
  <si>
    <t>External &amp; Common Facilities Score %</t>
  </si>
  <si>
    <t>Overall Score %</t>
  </si>
  <si>
    <t>Compliance Rating</t>
  </si>
  <si>
    <t>Remarks</t>
  </si>
  <si>
    <t>Is the main entrance step-free?</t>
  </si>
  <si>
    <t>Is a ramp available at the entrance?</t>
  </si>
  <si>
    <t>Is the ramp slope gentle enough for a wheelchair?</t>
  </si>
  <si>
    <t>Does the ramp have a non-slip surface?</t>
  </si>
  <si>
    <t>Are doors easy to open (light push or automatic)?</t>
  </si>
  <si>
    <t>Is the entrance wide enough for a wheelchair?</t>
  </si>
  <si>
    <t>Is a lift / elevator available?</t>
  </si>
  <si>
    <t>Does the lift have Braille buttons?</t>
  </si>
  <si>
    <t>Does the lift announce floors (audio)?</t>
  </si>
  <si>
    <t>Can a wheelchair fit inside the lift?</t>
  </si>
  <si>
    <t>Do staircases have handrails on both sides?</t>
  </si>
  <si>
    <t>Do stair edges have warning strips?</t>
  </si>
  <si>
    <t>Are corridors wide enough for a wheelchair?</t>
  </si>
  <si>
    <t>Is there enough space for a wheelchair to turn?</t>
  </si>
  <si>
    <t>Are pathways clear of obstacles?</t>
  </si>
  <si>
    <t>Is the flooring non-slip?</t>
  </si>
  <si>
    <t>Is Braille signage available at rooms / floors?</t>
  </si>
  <si>
    <t>Is the disability symbol displayed?</t>
  </si>
  <si>
    <t>Is a floor directory / map at the entrance?</t>
  </si>
  <si>
    <t>Are room numbers placed at a readable height?</t>
  </si>
  <si>
    <t>Is an accessible washroom available?</t>
  </si>
  <si>
    <t>Is the washroom door wide enough for a wheelchair?</t>
  </si>
  <si>
    <t>Are grab bars installed in the washroom?</t>
  </si>
  <si>
    <t>Does the accessible washroom have proper signage?</t>
  </si>
  <si>
    <t>Is the wash basin at a reachable height?</t>
  </si>
  <si>
    <t>Is there an emergency alarm in the accessible washroom?</t>
  </si>
  <si>
    <t>Is there an accessible emergency exit?</t>
  </si>
  <si>
    <t>Is a visual fire alarm (flashing light) available?</t>
  </si>
  <si>
    <t>Is an audible fire alarm available?</t>
  </si>
  <si>
    <t>Is there an evacuation plan for disabled persons?</t>
  </si>
  <si>
    <t>Is a safe waiting area available on each floor?</t>
  </si>
  <si>
    <t>Are wheelchair-friendly desks / tables available?</t>
  </si>
  <si>
    <t>Is there accessible seating (front row / aisle)?</t>
  </si>
  <si>
    <t>Is the classroom well-lit?</t>
  </si>
  <si>
    <t>Is accessible parking available?</t>
  </si>
  <si>
    <t>Is there an accessible path from parking to entrance?</t>
  </si>
  <si>
    <t>Is the drinking water facility reachable from a wheelchair?</t>
  </si>
  <si>
    <t>Is the canteen counter accessible?</t>
  </si>
  <si>
    <t>Zakir A</t>
  </si>
  <si>
    <t>Zakir Husain Block</t>
  </si>
  <si>
    <t>Zakir B</t>
  </si>
  <si>
    <t>Zakir C</t>
  </si>
  <si>
    <t>NC 1</t>
  </si>
  <si>
    <t>New Campus Block</t>
  </si>
  <si>
    <t>NC 2</t>
  </si>
  <si>
    <t>NC 3</t>
  </si>
  <si>
    <t>NC 4</t>
  </si>
  <si>
    <t>NC 5</t>
  </si>
  <si>
    <t>D1</t>
  </si>
  <si>
    <t>D Block</t>
  </si>
  <si>
    <t>D2</t>
  </si>
  <si>
    <t>D3</t>
  </si>
  <si>
    <t>D4</t>
  </si>
  <si>
    <t>D5</t>
  </si>
  <si>
    <t>D6</t>
  </si>
  <si>
    <t>D7</t>
  </si>
  <si>
    <t>D8</t>
  </si>
  <si>
    <t>DD1</t>
  </si>
  <si>
    <t>DD Block</t>
  </si>
  <si>
    <t>DD2</t>
  </si>
  <si>
    <t>C1</t>
  </si>
  <si>
    <t>C Block</t>
  </si>
  <si>
    <t>C2</t>
  </si>
  <si>
    <t>C3</t>
  </si>
  <si>
    <t>B1</t>
  </si>
  <si>
    <t>B Block</t>
  </si>
  <si>
    <t>B2</t>
  </si>
  <si>
    <t>B3</t>
  </si>
  <si>
    <t>B4</t>
  </si>
  <si>
    <t>B5</t>
  </si>
  <si>
    <t>A1</t>
  </si>
  <si>
    <t>A Block</t>
  </si>
  <si>
    <t>A2</t>
  </si>
  <si>
    <t>A3</t>
  </si>
  <si>
    <t>Building</t>
  </si>
  <si>
    <t>Block</t>
  </si>
  <si>
    <t>Overall %</t>
  </si>
  <si>
    <t>Compliance</t>
  </si>
  <si>
    <t>Buildings</t>
  </si>
  <si>
    <t>Zakir A, Zakir B, Zakir C</t>
  </si>
  <si>
    <t>NC 1, NC 2, NC 3, NC 4, NC 5</t>
  </si>
  <si>
    <t>D1, D2, D3, D4, D5, D6, D7, D8</t>
  </si>
  <si>
    <t>DD1, DD2</t>
  </si>
  <si>
    <t>C1, C2, C3</t>
  </si>
  <si>
    <t>B1, B2, B3, B4, B5</t>
  </si>
  <si>
    <t>A1, A2, A3</t>
  </si>
  <si>
    <t>CAMPUS ACCESSIBILITY AUDIT - SCORING GUIDE</t>
  </si>
  <si>
    <t>HOW TO FILL THE SURVEY</t>
  </si>
  <si>
    <t>For each building, select from the dropdown:</t>
  </si>
  <si>
    <t>Response</t>
  </si>
  <si>
    <t>Meaning</t>
  </si>
  <si>
    <t>When to Use</t>
  </si>
  <si>
    <t>Score</t>
  </si>
  <si>
    <t>Yes</t>
  </si>
  <si>
    <t>Available and working properly</t>
  </si>
  <si>
    <t>Ramp exists, good condition, usable</t>
  </si>
  <si>
    <t>1</t>
  </si>
  <si>
    <t>No</t>
  </si>
  <si>
    <t>Not available at all</t>
  </si>
  <si>
    <t>No ramp exists anywhere</t>
  </si>
  <si>
    <t>0</t>
  </si>
  <si>
    <t>Partial</t>
  </si>
  <si>
    <t>Exists but damaged / incomplete / unusable</t>
  </si>
  <si>
    <t>Ramp exists but broken or too steep</t>
  </si>
  <si>
    <t>0.5</t>
  </si>
  <si>
    <t>NA</t>
  </si>
  <si>
    <t>Not applicable to this building</t>
  </si>
  <si>
    <t>Single-floor building has no lift needed</t>
  </si>
  <si>
    <t>Excluded</t>
  </si>
  <si>
    <t>COMPLIANCE RATING</t>
  </si>
  <si>
    <t>Score Range</t>
  </si>
  <si>
    <t>Rating</t>
  </si>
  <si>
    <t>Color</t>
  </si>
  <si>
    <t>Action</t>
  </si>
  <si>
    <t>&gt;= 80%</t>
  </si>
  <si>
    <t>Compliant</t>
  </si>
  <si>
    <t>Green</t>
  </si>
  <si>
    <t>Minor improvements only</t>
  </si>
  <si>
    <t>50% - 79%</t>
  </si>
  <si>
    <t>Yellow</t>
  </si>
  <si>
    <t>Priority fixes needed</t>
  </si>
  <si>
    <t>&lt; 50%</t>
  </si>
  <si>
    <t>Non-Compliant</t>
  </si>
  <si>
    <t>Red</t>
  </si>
  <si>
    <t>Urgent action required</t>
  </si>
  <si>
    <t>CHECKLIST QUESTIONS BY CATEGORY</t>
  </si>
  <si>
    <t>Entrance &amp; Approach (6 questions)</t>
  </si>
  <si>
    <t xml:space="preserve">  1. Is the main entrance step-free?</t>
  </si>
  <si>
    <t xml:space="preserve">  2. Is a ramp available at the entrance?</t>
  </si>
  <si>
    <t xml:space="preserve">  3. Is the ramp slope gentle enough for a wheelchair?</t>
  </si>
  <si>
    <t xml:space="preserve">  4. Does the ramp have a non-slip surface?</t>
  </si>
  <si>
    <t xml:space="preserve">  5. Are doors easy to open (light push or automatic)?</t>
  </si>
  <si>
    <t xml:space="preserve">  6. Is the entrance wide enough for a wheelchair?</t>
  </si>
  <si>
    <t>Lifts &amp; Stairs (6 questions)</t>
  </si>
  <si>
    <t xml:space="preserve">  1. Is a lift / elevator available?</t>
  </si>
  <si>
    <t xml:space="preserve">  2. Does the lift have Braille buttons?</t>
  </si>
  <si>
    <t xml:space="preserve">  3. Does the lift announce floors (audio)?</t>
  </si>
  <si>
    <t xml:space="preserve">  4. Can a wheelchair fit inside the lift?</t>
  </si>
  <si>
    <t xml:space="preserve">  5. Do staircases have handrails on both sides?</t>
  </si>
  <si>
    <t xml:space="preserve">  6. Do stair edges have warning strips?</t>
  </si>
  <si>
    <t>Corridors &amp; Pathways (4 questions)</t>
  </si>
  <si>
    <t xml:space="preserve">  1. Are corridors wide enough for a wheelchair?</t>
  </si>
  <si>
    <t xml:space="preserve">  2. Is there enough space for a wheelchair to turn?</t>
  </si>
  <si>
    <t xml:space="preserve">  3. Are pathways clear of obstacles?</t>
  </si>
  <si>
    <t xml:space="preserve">  4. Is the flooring non-slip?</t>
  </si>
  <si>
    <t>Signage &amp; Wayfinding (4 questions)</t>
  </si>
  <si>
    <t xml:space="preserve">  1. Is Braille signage available at rooms / floors?</t>
  </si>
  <si>
    <t xml:space="preserve">  2. Is the disability symbol displayed?</t>
  </si>
  <si>
    <t xml:space="preserve">  3. Is a floor directory / map at the entrance?</t>
  </si>
  <si>
    <t xml:space="preserve">  4. Are room numbers placed at a readable height?</t>
  </si>
  <si>
    <t>Washroom Accessibility (6 questions)</t>
  </si>
  <si>
    <t xml:space="preserve">  1. Is an accessible washroom available?</t>
  </si>
  <si>
    <t xml:space="preserve">  2. Is the washroom door wide enough for a wheelchair?</t>
  </si>
  <si>
    <t xml:space="preserve">  3. Are grab bars installed in the washroom?</t>
  </si>
  <si>
    <t xml:space="preserve">  4. Does the accessible washroom have proper signage?</t>
  </si>
  <si>
    <t xml:space="preserve">  5. Is the wash basin at a reachable height?</t>
  </si>
  <si>
    <t xml:space="preserve">  6. Is there an emergency alarm in the accessible washroom?</t>
  </si>
  <si>
    <t>Emergency &amp; Safety (5 questions)</t>
  </si>
  <si>
    <t xml:space="preserve">  1. Is there an accessible emergency exit?</t>
  </si>
  <si>
    <t xml:space="preserve">  2. Is a visual fire alarm (flashing light) available?</t>
  </si>
  <si>
    <t xml:space="preserve">  3. Is an audible fire alarm available?</t>
  </si>
  <si>
    <t xml:space="preserve">  4. Is there an evacuation plan for disabled persons?</t>
  </si>
  <si>
    <t xml:space="preserve">  5. Is a safe waiting area available on each floor?</t>
  </si>
  <si>
    <t>Classroom &amp; Furniture (3 questions)</t>
  </si>
  <si>
    <t xml:space="preserve">  1. Are wheelchair-friendly desks / tables available?</t>
  </si>
  <si>
    <t xml:space="preserve">  2. Is there accessible seating (front row / aisle)?</t>
  </si>
  <si>
    <t xml:space="preserve">  3. Is the classroom well-lit?</t>
  </si>
  <si>
    <t>External &amp; Common Facilities (4 questions)</t>
  </si>
  <si>
    <t xml:space="preserve">  1. Is accessible parking available?</t>
  </si>
  <si>
    <t xml:space="preserve">  2. Is there an accessible path from parking to entrance?</t>
  </si>
  <si>
    <t xml:space="preserve">  3. Is the drinking water facility reachable from a wheelchair?</t>
  </si>
  <si>
    <t xml:space="preserve">  4. Is the canteen counter accessible?</t>
  </si>
  <si>
    <t>AUDIT INSTRUCTIONS</t>
  </si>
  <si>
    <t>1. Walk through each building with this sheet open on your phone/laptop.</t>
  </si>
  <si>
    <t>2. For each question, select Yes, No, Partial, or NA from the dropdown.</t>
  </si>
  <si>
    <t>3. Take photos as evidence (name: BuildingName_QuestionNumber.jpg).</t>
  </si>
  <si>
    <t>4. Add specific observations in the Remarks column.</t>
  </si>
  <si>
    <t>5. Scores are calculated automatically - no manual math needed.</t>
  </si>
  <si>
    <t>LEGAL FRAMEWORK</t>
  </si>
  <si>
    <t>- Rights of Persons with Disabilities (RPWD) Act, 2016</t>
  </si>
  <si>
    <t>- National Building Code (NBC) 2016</t>
  </si>
  <si>
    <t>- BIS IS 11942:2015 Accessibility Guidelines</t>
  </si>
  <si>
    <t>- WCAG 2.1 AA (for digital signage)</t>
  </si>
  <si>
    <t>Vaibhav Tiwari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</si>
</sst>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9"/>
      <color rgb="FFFFFFFF"/>
      <name val="Calibri"/>
    </font>
    <font>
      <b/>
      <sz val="11"/>
      <name val="Calibri"/>
    </font>
    <font>
      <b/>
      <sz val="11"/>
      <name val="Calibri"/>
    </font>
    <font>
      <b/>
      <sz val="16"/>
      <color rgb="FF1F4E79"/>
      <name val="Calibri"/>
    </font>
    <font>
      <b/>
      <sz val="13"/>
      <color rgb="FF2E75B6"/>
      <name val="Calibri"/>
    </font>
    <font>
      <b/>
      <sz val="11"/>
      <color rgb="FF4472C4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rgb="FFA5A5A5"/>
        <bgColor rgb="FFA5A5A5"/>
      </patternFill>
    </fill>
    <fill>
      <patternFill patternType="solid">
        <fgColor rgb="FFFFC000"/>
        <bgColor rgb="FFFFC000"/>
      </patternFill>
    </fill>
    <fill>
      <patternFill patternType="solid">
        <fgColor rgb="FF5B9BD5"/>
        <bgColor rgb="FF5B9BD5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rgb="FFBF8F00"/>
        <bgColor rgb="FFBF8F00"/>
      </patternFill>
    </fill>
    <fill>
      <patternFill patternType="solid">
        <fgColor rgb="FFC55A11"/>
        <bgColor rgb="FFC55A11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12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 wrapText="1"/>
    </xf>
    <xf numFmtId="165" fontId="0" fillId="13" borderId="1" xfId="0" applyNumberFormat="1" applyFill="1" applyBorder="1" applyAlignment="1">
      <alignment horizontal="center" vertical="center" wrapText="1"/>
    </xf>
    <xf numFmtId="165" fontId="0" fillId="14" borderId="1" xfId="0" applyNumberForma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12" borderId="1" xfId="0" applyFill="1" applyBorder="1"/>
    <xf numFmtId="165" fontId="0" fillId="0" borderId="1" xfId="0" applyNumberForma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12" borderId="1" xfId="0" applyFont="1" applyFill="1" applyBorder="1"/>
    <xf numFmtId="0" fontId="5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6" fillId="0" borderId="0" xfId="0" applyFont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1" fillId="11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1" fillId="3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5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BB1048576"/>
  <sheetViews>
    <sheetView tabSelected="1" zoomScale="102" workbookViewId="0">
      <pane xSplit="5" ySplit="2" topLeftCell="F3" activePane="bottomRight" state="frozen"/>
      <selection pane="topRight"/>
      <selection pane="bottomLeft"/>
      <selection pane="bottomRight" activeCell="K12" sqref="K12"/>
    </sheetView>
  </sheetViews>
  <sheetFormatPr defaultRowHeight="14.4" x14ac:dyDescent="0.3"/>
  <cols>
    <col min="1" max="1" width="5" customWidth="1"/>
    <col min="2" max="2" width="16" customWidth="1"/>
    <col min="3" max="3" width="20" customWidth="1"/>
    <col min="4" max="4" width="16" customWidth="1"/>
    <col min="5" max="5" width="14" customWidth="1"/>
    <col min="6" max="43" width="16" customWidth="1"/>
    <col min="44" max="51" width="18" customWidth="1"/>
    <col min="52" max="52" width="16" customWidth="1"/>
    <col min="53" max="53" width="18" customWidth="1"/>
    <col min="54" max="54" width="25" customWidth="1"/>
  </cols>
  <sheetData>
    <row r="1" spans="1:54" ht="30" customHeight="1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31" t="s">
        <v>5</v>
      </c>
      <c r="G1" s="30"/>
      <c r="H1" s="30"/>
      <c r="I1" s="30"/>
      <c r="J1" s="30"/>
      <c r="K1" s="30"/>
      <c r="L1" s="35" t="s">
        <v>6</v>
      </c>
      <c r="M1" s="30"/>
      <c r="N1" s="30"/>
      <c r="O1" s="30"/>
      <c r="P1" s="30"/>
      <c r="Q1" s="30"/>
      <c r="R1" s="37" t="s">
        <v>7</v>
      </c>
      <c r="S1" s="30"/>
      <c r="T1" s="30"/>
      <c r="U1" s="30"/>
      <c r="V1" s="32" t="s">
        <v>8</v>
      </c>
      <c r="W1" s="30"/>
      <c r="X1" s="30"/>
      <c r="Y1" s="30"/>
      <c r="Z1" s="29" t="s">
        <v>9</v>
      </c>
      <c r="AA1" s="30"/>
      <c r="AB1" s="30"/>
      <c r="AC1" s="30"/>
      <c r="AD1" s="30"/>
      <c r="AE1" s="30"/>
      <c r="AF1" s="34" t="s">
        <v>10</v>
      </c>
      <c r="AG1" s="30"/>
      <c r="AH1" s="30"/>
      <c r="AI1" s="30"/>
      <c r="AJ1" s="30"/>
      <c r="AK1" s="36" t="s">
        <v>11</v>
      </c>
      <c r="AL1" s="30"/>
      <c r="AM1" s="30"/>
      <c r="AN1" s="33" t="s">
        <v>12</v>
      </c>
      <c r="AO1" s="30"/>
      <c r="AP1" s="30"/>
      <c r="AQ1" s="30"/>
      <c r="AR1" s="28" t="s">
        <v>13</v>
      </c>
      <c r="AS1" s="28" t="s">
        <v>14</v>
      </c>
      <c r="AT1" s="28" t="s">
        <v>15</v>
      </c>
      <c r="AU1" s="28" t="s">
        <v>16</v>
      </c>
      <c r="AV1" s="28" t="s">
        <v>17</v>
      </c>
      <c r="AW1" s="28" t="s">
        <v>18</v>
      </c>
      <c r="AX1" s="28" t="s">
        <v>19</v>
      </c>
      <c r="AY1" s="28" t="s">
        <v>20</v>
      </c>
      <c r="AZ1" s="26" t="s">
        <v>21</v>
      </c>
      <c r="BA1" s="26" t="s">
        <v>22</v>
      </c>
      <c r="BB1" s="26" t="s">
        <v>23</v>
      </c>
    </row>
    <row r="2" spans="1:54" ht="70.05" customHeight="1" x14ac:dyDescent="0.3">
      <c r="A2" s="27"/>
      <c r="B2" s="27"/>
      <c r="C2" s="27"/>
      <c r="D2" s="27"/>
      <c r="E2" s="27"/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  <c r="L2" s="3" t="s">
        <v>30</v>
      </c>
      <c r="M2" s="3" t="s">
        <v>31</v>
      </c>
      <c r="N2" s="3" t="s">
        <v>32</v>
      </c>
      <c r="O2" s="3" t="s">
        <v>33</v>
      </c>
      <c r="P2" s="3" t="s">
        <v>34</v>
      </c>
      <c r="Q2" s="3" t="s">
        <v>35</v>
      </c>
      <c r="R2" s="4" t="s">
        <v>36</v>
      </c>
      <c r="S2" s="4" t="s">
        <v>37</v>
      </c>
      <c r="T2" s="4" t="s">
        <v>38</v>
      </c>
      <c r="U2" s="4" t="s">
        <v>39</v>
      </c>
      <c r="V2" s="5" t="s">
        <v>40</v>
      </c>
      <c r="W2" s="5" t="s">
        <v>41</v>
      </c>
      <c r="X2" s="5" t="s">
        <v>42</v>
      </c>
      <c r="Y2" s="5" t="s">
        <v>43</v>
      </c>
      <c r="Z2" s="6" t="s">
        <v>44</v>
      </c>
      <c r="AA2" s="6" t="s">
        <v>45</v>
      </c>
      <c r="AB2" s="6" t="s">
        <v>46</v>
      </c>
      <c r="AC2" s="6" t="s">
        <v>47</v>
      </c>
      <c r="AD2" s="6" t="s">
        <v>48</v>
      </c>
      <c r="AE2" s="6" t="s">
        <v>49</v>
      </c>
      <c r="AF2" s="7" t="s">
        <v>50</v>
      </c>
      <c r="AG2" s="7" t="s">
        <v>51</v>
      </c>
      <c r="AH2" s="7" t="s">
        <v>52</v>
      </c>
      <c r="AI2" s="7" t="s">
        <v>53</v>
      </c>
      <c r="AJ2" s="7" t="s">
        <v>54</v>
      </c>
      <c r="AK2" s="8" t="s">
        <v>55</v>
      </c>
      <c r="AL2" s="8" t="s">
        <v>56</v>
      </c>
      <c r="AM2" s="8" t="s">
        <v>57</v>
      </c>
      <c r="AN2" s="9" t="s">
        <v>58</v>
      </c>
      <c r="AO2" s="9" t="s">
        <v>59</v>
      </c>
      <c r="AP2" s="9" t="s">
        <v>60</v>
      </c>
      <c r="AQ2" s="9" t="s">
        <v>61</v>
      </c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</row>
    <row r="3" spans="1:54" x14ac:dyDescent="0.3">
      <c r="A3" s="10">
        <v>1</v>
      </c>
      <c r="B3" s="11" t="s">
        <v>62</v>
      </c>
      <c r="C3" s="11" t="s">
        <v>63</v>
      </c>
      <c r="D3" s="12" t="s">
        <v>207</v>
      </c>
      <c r="E3" s="13"/>
      <c r="F3" s="10" t="s">
        <v>121</v>
      </c>
      <c r="G3" s="10" t="s">
        <v>121</v>
      </c>
      <c r="H3" s="10" t="s">
        <v>121</v>
      </c>
      <c r="I3" s="10" t="s">
        <v>121</v>
      </c>
      <c r="J3" s="10" t="s">
        <v>121</v>
      </c>
      <c r="K3" s="10" t="s">
        <v>117</v>
      </c>
      <c r="L3" s="10" t="s">
        <v>117</v>
      </c>
      <c r="M3" s="10" t="s">
        <v>117</v>
      </c>
      <c r="N3" s="10" t="s">
        <v>121</v>
      </c>
      <c r="O3" s="10" t="s">
        <v>117</v>
      </c>
      <c r="P3" s="10" t="s">
        <v>117</v>
      </c>
      <c r="Q3" s="10" t="s">
        <v>121</v>
      </c>
      <c r="R3" s="10" t="s">
        <v>117</v>
      </c>
      <c r="S3" s="10" t="s">
        <v>117</v>
      </c>
      <c r="T3" s="10" t="s">
        <v>117</v>
      </c>
      <c r="U3" s="10" t="s">
        <v>117</v>
      </c>
      <c r="V3" s="10" t="s">
        <v>121</v>
      </c>
      <c r="W3" s="10" t="s">
        <v>121</v>
      </c>
      <c r="X3" s="10" t="s">
        <v>117</v>
      </c>
      <c r="Y3" s="10" t="s">
        <v>117</v>
      </c>
      <c r="Z3" s="10" t="s">
        <v>117</v>
      </c>
      <c r="AA3" s="10" t="s">
        <v>117</v>
      </c>
      <c r="AB3" s="10" t="s">
        <v>117</v>
      </c>
      <c r="AC3" s="10" t="s">
        <v>121</v>
      </c>
      <c r="AD3" s="10" t="s">
        <v>117</v>
      </c>
      <c r="AE3" s="10" t="s">
        <v>121</v>
      </c>
      <c r="AF3" s="10" t="s">
        <v>121</v>
      </c>
      <c r="AG3" s="10" t="s">
        <v>121</v>
      </c>
      <c r="AH3" s="10" t="s">
        <v>117</v>
      </c>
      <c r="AI3" s="10" t="s">
        <v>121</v>
      </c>
      <c r="AJ3" s="10" t="s">
        <v>121</v>
      </c>
      <c r="AK3" s="10" t="s">
        <v>121</v>
      </c>
      <c r="AL3" s="10" t="s">
        <v>117</v>
      </c>
      <c r="AM3" s="10" t="s">
        <v>117</v>
      </c>
      <c r="AN3" s="10" t="s">
        <v>117</v>
      </c>
      <c r="AO3" s="10" t="s">
        <v>121</v>
      </c>
      <c r="AP3" s="10" t="s">
        <v>117</v>
      </c>
      <c r="AQ3" s="10" t="s">
        <v>117</v>
      </c>
      <c r="AR3" s="14">
        <f t="shared" ref="AR3:AR31" si="0">IFERROR((COUNTIF(F3:K3,"Yes")+0.5*COUNTIF(F3:K3,"Partial"))/(COUNTA(F3:K3)-COUNTIF(F3:K3,"NA"))*100,"")</f>
        <v>16.666666666666664</v>
      </c>
      <c r="AS3" s="14">
        <f t="shared" ref="AS3:AS31" si="1">IFERROR((COUNTIF(L3:Q3,"Yes")+0.5*COUNTIF(L3:Q3,"Partial"))/(COUNTA(L3:Q3)-COUNTIF(L3:Q3,"NA"))*100,"")</f>
        <v>66.666666666666657</v>
      </c>
      <c r="AT3" s="14">
        <f t="shared" ref="AT3:AT31" si="2">IFERROR((COUNTIF(R3:U3,"Yes")+0.5*COUNTIF(R3:U3,"Partial"))/(COUNTA(R3:U3)-COUNTIF(R3:U3,"NA"))*100,"")</f>
        <v>100</v>
      </c>
      <c r="AU3" s="14">
        <f t="shared" ref="AU3:AU31" si="3">IFERROR((COUNTIF(V3:Y3,"Yes")+0.5*COUNTIF(V3:Y3,"Partial"))/(COUNTA(V3:Y3)-COUNTIF(V3:Y3,"NA"))*100,"")</f>
        <v>50</v>
      </c>
      <c r="AV3" s="14">
        <f t="shared" ref="AV3:AV31" si="4">IFERROR((COUNTIF(Z3:AE3,"Yes")+0.5*COUNTIF(Z3:AE3,"Partial"))/(COUNTA(Z3:AE3)-COUNTIF(Z3:AE3,"NA"))*100,"")</f>
        <v>66.666666666666657</v>
      </c>
      <c r="AW3" s="14">
        <f t="shared" ref="AW3:AW31" si="5">IFERROR((COUNTIF(AF3:AJ3,"Yes")+0.5*COUNTIF(AF3:AJ3,"Partial"))/(COUNTA(AF3:AJ3)-COUNTIF(AF3:AJ3,"NA"))*100,"")</f>
        <v>20</v>
      </c>
      <c r="AX3" s="14">
        <f t="shared" ref="AX3:AX31" si="6">IFERROR((COUNTIF(AK3:AM3,"Yes")+0.5*COUNTIF(AK3:AM3,"Partial"))/(COUNTA(AK3:AM3)-COUNTIF(AK3:AM3,"NA"))*100,"")</f>
        <v>66.666666666666657</v>
      </c>
      <c r="AY3" s="14">
        <f t="shared" ref="AY3:AY31" si="7">IFERROR((COUNTIF(AN3:AQ3,"Yes")+0.5*COUNTIF(AN3:AQ3,"Partial"))/(COUNTA(AN3:AQ3)-COUNTIF(AN3:AQ3,"NA"))*100,"")</f>
        <v>75</v>
      </c>
      <c r="AZ3" s="15">
        <f t="shared" ref="AZ3:AZ31" si="8">IFERROR(AVERAGE(IF(ISNUMBER(AR3:AY3),AR3:AY3)),"")</f>
        <v>0</v>
      </c>
      <c r="BA3" s="16" t="str">
        <f t="shared" ref="BA3:BA31" si="9">IF(AZ3="","",IF(AZ3&gt;=80,"Compliant",IF(AZ3&gt;=50,"Partial","Non-Compliant")))</f>
        <v>Non-Compliant</v>
      </c>
      <c r="BB3" s="12"/>
    </row>
    <row r="4" spans="1:54" x14ac:dyDescent="0.3">
      <c r="A4" s="10">
        <v>2</v>
      </c>
      <c r="B4" s="11" t="s">
        <v>64</v>
      </c>
      <c r="C4" s="11" t="s">
        <v>63</v>
      </c>
      <c r="D4" s="12" t="s">
        <v>207</v>
      </c>
      <c r="E4" s="13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4" t="str">
        <f t="shared" si="0"/>
        <v/>
      </c>
      <c r="AS4" s="14" t="str">
        <f t="shared" si="1"/>
        <v/>
      </c>
      <c r="AT4" s="14" t="str">
        <f t="shared" si="2"/>
        <v/>
      </c>
      <c r="AU4" s="14" t="str">
        <f t="shared" si="3"/>
        <v/>
      </c>
      <c r="AV4" s="14" t="str">
        <f t="shared" si="4"/>
        <v/>
      </c>
      <c r="AW4" s="14" t="str">
        <f t="shared" si="5"/>
        <v/>
      </c>
      <c r="AX4" s="14" t="str">
        <f t="shared" si="6"/>
        <v/>
      </c>
      <c r="AY4" s="14" t="str">
        <f t="shared" si="7"/>
        <v/>
      </c>
      <c r="AZ4" s="15">
        <f t="shared" si="8"/>
        <v>0</v>
      </c>
      <c r="BA4" s="16" t="str">
        <f t="shared" si="9"/>
        <v>Non-Compliant</v>
      </c>
      <c r="BB4" s="12"/>
    </row>
    <row r="5" spans="1:54" x14ac:dyDescent="0.3">
      <c r="A5" s="10">
        <v>3</v>
      </c>
      <c r="B5" s="11" t="s">
        <v>65</v>
      </c>
      <c r="C5" s="11" t="s">
        <v>63</v>
      </c>
      <c r="D5" s="12" t="s">
        <v>207</v>
      </c>
      <c r="E5" s="13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4" t="str">
        <f t="shared" si="0"/>
        <v/>
      </c>
      <c r="AS5" s="14" t="str">
        <f t="shared" si="1"/>
        <v/>
      </c>
      <c r="AT5" s="14" t="str">
        <f t="shared" si="2"/>
        <v/>
      </c>
      <c r="AU5" s="14" t="str">
        <f t="shared" si="3"/>
        <v/>
      </c>
      <c r="AV5" s="14" t="str">
        <f t="shared" si="4"/>
        <v/>
      </c>
      <c r="AW5" s="14" t="str">
        <f t="shared" si="5"/>
        <v/>
      </c>
      <c r="AX5" s="14" t="str">
        <f t="shared" si="6"/>
        <v/>
      </c>
      <c r="AY5" s="14" t="str">
        <f t="shared" si="7"/>
        <v/>
      </c>
      <c r="AZ5" s="15">
        <f t="shared" si="8"/>
        <v>0</v>
      </c>
      <c r="BA5" s="16" t="str">
        <f t="shared" si="9"/>
        <v>Non-Compliant</v>
      </c>
      <c r="BB5" s="12"/>
    </row>
    <row r="6" spans="1:54" x14ac:dyDescent="0.3">
      <c r="A6" s="10">
        <v>4</v>
      </c>
      <c r="B6" s="11" t="s">
        <v>66</v>
      </c>
      <c r="C6" s="11" t="s">
        <v>67</v>
      </c>
      <c r="D6" s="12" t="s">
        <v>207</v>
      </c>
      <c r="E6" s="13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4" t="str">
        <f t="shared" si="0"/>
        <v/>
      </c>
      <c r="AS6" s="14" t="str">
        <f t="shared" si="1"/>
        <v/>
      </c>
      <c r="AT6" s="14" t="str">
        <f t="shared" si="2"/>
        <v/>
      </c>
      <c r="AU6" s="14" t="str">
        <f t="shared" si="3"/>
        <v/>
      </c>
      <c r="AV6" s="14" t="str">
        <f t="shared" si="4"/>
        <v/>
      </c>
      <c r="AW6" s="14" t="str">
        <f t="shared" si="5"/>
        <v/>
      </c>
      <c r="AX6" s="14" t="str">
        <f t="shared" si="6"/>
        <v/>
      </c>
      <c r="AY6" s="14" t="str">
        <f t="shared" si="7"/>
        <v/>
      </c>
      <c r="AZ6" s="15">
        <f t="shared" si="8"/>
        <v>0</v>
      </c>
      <c r="BA6" s="16" t="str">
        <f t="shared" si="9"/>
        <v>Non-Compliant</v>
      </c>
      <c r="BB6" s="12"/>
    </row>
    <row r="7" spans="1:54" x14ac:dyDescent="0.3">
      <c r="A7" s="10">
        <v>5</v>
      </c>
      <c r="B7" s="11" t="s">
        <v>68</v>
      </c>
      <c r="C7" s="11" t="s">
        <v>67</v>
      </c>
      <c r="D7" s="12" t="s">
        <v>207</v>
      </c>
      <c r="E7" s="13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4" t="str">
        <f t="shared" si="0"/>
        <v/>
      </c>
      <c r="AS7" s="14" t="str">
        <f t="shared" si="1"/>
        <v/>
      </c>
      <c r="AT7" s="14" t="str">
        <f t="shared" si="2"/>
        <v/>
      </c>
      <c r="AU7" s="14" t="str">
        <f t="shared" si="3"/>
        <v/>
      </c>
      <c r="AV7" s="14" t="str">
        <f t="shared" si="4"/>
        <v/>
      </c>
      <c r="AW7" s="14" t="str">
        <f t="shared" si="5"/>
        <v/>
      </c>
      <c r="AX7" s="14" t="str">
        <f t="shared" si="6"/>
        <v/>
      </c>
      <c r="AY7" s="14" t="str">
        <f t="shared" si="7"/>
        <v/>
      </c>
      <c r="AZ7" s="15">
        <f t="shared" si="8"/>
        <v>0</v>
      </c>
      <c r="BA7" s="16" t="str">
        <f t="shared" si="9"/>
        <v>Non-Compliant</v>
      </c>
      <c r="BB7" s="12"/>
    </row>
    <row r="8" spans="1:54" x14ac:dyDescent="0.3">
      <c r="A8" s="10">
        <v>6</v>
      </c>
      <c r="B8" s="11" t="s">
        <v>69</v>
      </c>
      <c r="C8" s="11" t="s">
        <v>67</v>
      </c>
      <c r="D8" s="12" t="s">
        <v>207</v>
      </c>
      <c r="E8" s="13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4" t="str">
        <f t="shared" si="0"/>
        <v/>
      </c>
      <c r="AS8" s="14" t="str">
        <f t="shared" si="1"/>
        <v/>
      </c>
      <c r="AT8" s="14" t="str">
        <f t="shared" si="2"/>
        <v/>
      </c>
      <c r="AU8" s="14" t="str">
        <f t="shared" si="3"/>
        <v/>
      </c>
      <c r="AV8" s="14" t="str">
        <f t="shared" si="4"/>
        <v/>
      </c>
      <c r="AW8" s="14" t="str">
        <f t="shared" si="5"/>
        <v/>
      </c>
      <c r="AX8" s="14" t="str">
        <f t="shared" si="6"/>
        <v/>
      </c>
      <c r="AY8" s="14" t="str">
        <f t="shared" si="7"/>
        <v/>
      </c>
      <c r="AZ8" s="15">
        <f t="shared" si="8"/>
        <v>0</v>
      </c>
      <c r="BA8" s="16" t="str">
        <f t="shared" si="9"/>
        <v>Non-Compliant</v>
      </c>
      <c r="BB8" s="12"/>
    </row>
    <row r="9" spans="1:54" x14ac:dyDescent="0.3">
      <c r="A9" s="10">
        <v>7</v>
      </c>
      <c r="B9" s="11" t="s">
        <v>70</v>
      </c>
      <c r="C9" s="11" t="s">
        <v>67</v>
      </c>
      <c r="D9" s="12" t="s">
        <v>207</v>
      </c>
      <c r="E9" s="13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4" t="str">
        <f t="shared" si="0"/>
        <v/>
      </c>
      <c r="AS9" s="14" t="str">
        <f t="shared" si="1"/>
        <v/>
      </c>
      <c r="AT9" s="14" t="str">
        <f t="shared" si="2"/>
        <v/>
      </c>
      <c r="AU9" s="14" t="str">
        <f t="shared" si="3"/>
        <v/>
      </c>
      <c r="AV9" s="14" t="str">
        <f t="shared" si="4"/>
        <v/>
      </c>
      <c r="AW9" s="14" t="str">
        <f t="shared" si="5"/>
        <v/>
      </c>
      <c r="AX9" s="14" t="str">
        <f t="shared" si="6"/>
        <v/>
      </c>
      <c r="AY9" s="14" t="str">
        <f t="shared" si="7"/>
        <v/>
      </c>
      <c r="AZ9" s="15">
        <f t="shared" si="8"/>
        <v>0</v>
      </c>
      <c r="BA9" s="16" t="str">
        <f t="shared" si="9"/>
        <v>Non-Compliant</v>
      </c>
      <c r="BB9" s="12"/>
    </row>
    <row r="10" spans="1:54" x14ac:dyDescent="0.3">
      <c r="A10" s="10">
        <v>8</v>
      </c>
      <c r="B10" s="11" t="s">
        <v>71</v>
      </c>
      <c r="C10" s="11" t="s">
        <v>67</v>
      </c>
      <c r="D10" s="12" t="s">
        <v>207</v>
      </c>
      <c r="E10" s="13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4" t="str">
        <f t="shared" si="0"/>
        <v/>
      </c>
      <c r="AS10" s="14" t="str">
        <f t="shared" si="1"/>
        <v/>
      </c>
      <c r="AT10" s="14" t="str">
        <f t="shared" si="2"/>
        <v/>
      </c>
      <c r="AU10" s="14" t="str">
        <f t="shared" si="3"/>
        <v/>
      </c>
      <c r="AV10" s="14" t="str">
        <f t="shared" si="4"/>
        <v/>
      </c>
      <c r="AW10" s="14" t="str">
        <f t="shared" si="5"/>
        <v/>
      </c>
      <c r="AX10" s="14" t="str">
        <f t="shared" si="6"/>
        <v/>
      </c>
      <c r="AY10" s="14" t="str">
        <f t="shared" si="7"/>
        <v/>
      </c>
      <c r="AZ10" s="15">
        <f t="shared" si="8"/>
        <v>0</v>
      </c>
      <c r="BA10" s="16" t="str">
        <f t="shared" si="9"/>
        <v>Non-Compliant</v>
      </c>
      <c r="BB10" s="12"/>
    </row>
    <row r="11" spans="1:54" x14ac:dyDescent="0.3">
      <c r="A11" s="10">
        <v>9</v>
      </c>
      <c r="B11" s="11" t="s">
        <v>72</v>
      </c>
      <c r="C11" s="11" t="s">
        <v>73</v>
      </c>
      <c r="D11" s="12" t="s">
        <v>207</v>
      </c>
      <c r="E11" s="13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4" t="str">
        <f t="shared" si="0"/>
        <v/>
      </c>
      <c r="AS11" s="14" t="str">
        <f t="shared" si="1"/>
        <v/>
      </c>
      <c r="AT11" s="14" t="str">
        <f t="shared" si="2"/>
        <v/>
      </c>
      <c r="AU11" s="14" t="str">
        <f t="shared" si="3"/>
        <v/>
      </c>
      <c r="AV11" s="14" t="str">
        <f t="shared" si="4"/>
        <v/>
      </c>
      <c r="AW11" s="14" t="str">
        <f t="shared" si="5"/>
        <v/>
      </c>
      <c r="AX11" s="14" t="str">
        <f t="shared" si="6"/>
        <v/>
      </c>
      <c r="AY11" s="14" t="str">
        <f t="shared" si="7"/>
        <v/>
      </c>
      <c r="AZ11" s="15">
        <f t="shared" si="8"/>
        <v>0</v>
      </c>
      <c r="BA11" s="16" t="str">
        <f t="shared" si="9"/>
        <v>Non-Compliant</v>
      </c>
      <c r="BB11" s="12"/>
    </row>
    <row r="12" spans="1:54" x14ac:dyDescent="0.3">
      <c r="A12" s="10">
        <v>10</v>
      </c>
      <c r="B12" s="11" t="s">
        <v>74</v>
      </c>
      <c r="C12" s="11" t="s">
        <v>73</v>
      </c>
      <c r="D12" s="12" t="s">
        <v>207</v>
      </c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4" t="str">
        <f t="shared" si="0"/>
        <v/>
      </c>
      <c r="AS12" s="14" t="str">
        <f t="shared" si="1"/>
        <v/>
      </c>
      <c r="AT12" s="14" t="str">
        <f t="shared" si="2"/>
        <v/>
      </c>
      <c r="AU12" s="14" t="str">
        <f t="shared" si="3"/>
        <v/>
      </c>
      <c r="AV12" s="14" t="str">
        <f t="shared" si="4"/>
        <v/>
      </c>
      <c r="AW12" s="14" t="str">
        <f t="shared" si="5"/>
        <v/>
      </c>
      <c r="AX12" s="14" t="str">
        <f t="shared" si="6"/>
        <v/>
      </c>
      <c r="AY12" s="14" t="str">
        <f t="shared" si="7"/>
        <v/>
      </c>
      <c r="AZ12" s="15">
        <f t="shared" si="8"/>
        <v>0</v>
      </c>
      <c r="BA12" s="16" t="str">
        <f t="shared" si="9"/>
        <v>Non-Compliant</v>
      </c>
      <c r="BB12" s="12"/>
    </row>
    <row r="13" spans="1:54" x14ac:dyDescent="0.3">
      <c r="A13" s="10">
        <v>11</v>
      </c>
      <c r="B13" s="11" t="s">
        <v>75</v>
      </c>
      <c r="C13" s="11" t="s">
        <v>73</v>
      </c>
      <c r="D13" s="12" t="s">
        <v>207</v>
      </c>
      <c r="E13" s="1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4" t="str">
        <f t="shared" si="0"/>
        <v/>
      </c>
      <c r="AS13" s="14" t="str">
        <f t="shared" si="1"/>
        <v/>
      </c>
      <c r="AT13" s="14" t="str">
        <f t="shared" si="2"/>
        <v/>
      </c>
      <c r="AU13" s="14" t="str">
        <f t="shared" si="3"/>
        <v/>
      </c>
      <c r="AV13" s="14" t="str">
        <f t="shared" si="4"/>
        <v/>
      </c>
      <c r="AW13" s="14" t="str">
        <f t="shared" si="5"/>
        <v/>
      </c>
      <c r="AX13" s="14" t="str">
        <f t="shared" si="6"/>
        <v/>
      </c>
      <c r="AY13" s="14" t="str">
        <f t="shared" si="7"/>
        <v/>
      </c>
      <c r="AZ13" s="15">
        <f t="shared" si="8"/>
        <v>0</v>
      </c>
      <c r="BA13" s="16" t="str">
        <f t="shared" si="9"/>
        <v>Non-Compliant</v>
      </c>
      <c r="BB13" s="12"/>
    </row>
    <row r="14" spans="1:54" x14ac:dyDescent="0.3">
      <c r="A14" s="10">
        <v>12</v>
      </c>
      <c r="B14" s="11" t="s">
        <v>76</v>
      </c>
      <c r="C14" s="11" t="s">
        <v>73</v>
      </c>
      <c r="D14" s="12" t="s">
        <v>207</v>
      </c>
      <c r="E14" s="1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4" t="str">
        <f t="shared" si="0"/>
        <v/>
      </c>
      <c r="AS14" s="14" t="str">
        <f t="shared" si="1"/>
        <v/>
      </c>
      <c r="AT14" s="14" t="str">
        <f t="shared" si="2"/>
        <v/>
      </c>
      <c r="AU14" s="14" t="str">
        <f t="shared" si="3"/>
        <v/>
      </c>
      <c r="AV14" s="14" t="str">
        <f t="shared" si="4"/>
        <v/>
      </c>
      <c r="AW14" s="14" t="str">
        <f t="shared" si="5"/>
        <v/>
      </c>
      <c r="AX14" s="14" t="str">
        <f t="shared" si="6"/>
        <v/>
      </c>
      <c r="AY14" s="14" t="str">
        <f t="shared" si="7"/>
        <v/>
      </c>
      <c r="AZ14" s="15">
        <f t="shared" si="8"/>
        <v>0</v>
      </c>
      <c r="BA14" s="16" t="str">
        <f t="shared" si="9"/>
        <v>Non-Compliant</v>
      </c>
      <c r="BB14" s="12"/>
    </row>
    <row r="15" spans="1:54" x14ac:dyDescent="0.3">
      <c r="A15" s="10">
        <v>13</v>
      </c>
      <c r="B15" s="11" t="s">
        <v>77</v>
      </c>
      <c r="C15" s="11" t="s">
        <v>73</v>
      </c>
      <c r="D15" s="12" t="s">
        <v>207</v>
      </c>
      <c r="E15" s="1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4" t="str">
        <f t="shared" si="0"/>
        <v/>
      </c>
      <c r="AS15" s="14" t="str">
        <f t="shared" si="1"/>
        <v/>
      </c>
      <c r="AT15" s="14" t="str">
        <f t="shared" si="2"/>
        <v/>
      </c>
      <c r="AU15" s="14" t="str">
        <f t="shared" si="3"/>
        <v/>
      </c>
      <c r="AV15" s="14" t="str">
        <f t="shared" si="4"/>
        <v/>
      </c>
      <c r="AW15" s="14" t="str">
        <f t="shared" si="5"/>
        <v/>
      </c>
      <c r="AX15" s="14" t="str">
        <f t="shared" si="6"/>
        <v/>
      </c>
      <c r="AY15" s="14" t="str">
        <f t="shared" si="7"/>
        <v/>
      </c>
      <c r="AZ15" s="15">
        <f t="shared" si="8"/>
        <v>0</v>
      </c>
      <c r="BA15" s="16" t="str">
        <f t="shared" si="9"/>
        <v>Non-Compliant</v>
      </c>
      <c r="BB15" s="12"/>
    </row>
    <row r="16" spans="1:54" x14ac:dyDescent="0.3">
      <c r="A16" s="10">
        <v>14</v>
      </c>
      <c r="B16" s="11" t="s">
        <v>78</v>
      </c>
      <c r="C16" s="11" t="s">
        <v>73</v>
      </c>
      <c r="D16" s="12" t="s">
        <v>207</v>
      </c>
      <c r="E16" s="1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4" t="str">
        <f t="shared" si="0"/>
        <v/>
      </c>
      <c r="AS16" s="14" t="str">
        <f t="shared" si="1"/>
        <v/>
      </c>
      <c r="AT16" s="14" t="str">
        <f t="shared" si="2"/>
        <v/>
      </c>
      <c r="AU16" s="14" t="str">
        <f t="shared" si="3"/>
        <v/>
      </c>
      <c r="AV16" s="14" t="str">
        <f t="shared" si="4"/>
        <v/>
      </c>
      <c r="AW16" s="14" t="str">
        <f t="shared" si="5"/>
        <v/>
      </c>
      <c r="AX16" s="14" t="str">
        <f t="shared" si="6"/>
        <v/>
      </c>
      <c r="AY16" s="14" t="str">
        <f t="shared" si="7"/>
        <v/>
      </c>
      <c r="AZ16" s="15">
        <f t="shared" si="8"/>
        <v>0</v>
      </c>
      <c r="BA16" s="16" t="str">
        <f t="shared" si="9"/>
        <v>Non-Compliant</v>
      </c>
      <c r="BB16" s="12"/>
    </row>
    <row r="17" spans="1:54" x14ac:dyDescent="0.3">
      <c r="A17" s="10">
        <v>15</v>
      </c>
      <c r="B17" s="11" t="s">
        <v>79</v>
      </c>
      <c r="C17" s="11" t="s">
        <v>73</v>
      </c>
      <c r="D17" s="12" t="s">
        <v>207</v>
      </c>
      <c r="E17" s="1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4" t="str">
        <f t="shared" si="0"/>
        <v/>
      </c>
      <c r="AS17" s="14" t="str">
        <f t="shared" si="1"/>
        <v/>
      </c>
      <c r="AT17" s="14" t="str">
        <f t="shared" si="2"/>
        <v/>
      </c>
      <c r="AU17" s="14" t="str">
        <f t="shared" si="3"/>
        <v/>
      </c>
      <c r="AV17" s="14" t="str">
        <f t="shared" si="4"/>
        <v/>
      </c>
      <c r="AW17" s="14" t="str">
        <f t="shared" si="5"/>
        <v/>
      </c>
      <c r="AX17" s="14" t="str">
        <f t="shared" si="6"/>
        <v/>
      </c>
      <c r="AY17" s="14" t="str">
        <f t="shared" si="7"/>
        <v/>
      </c>
      <c r="AZ17" s="15">
        <f t="shared" si="8"/>
        <v>0</v>
      </c>
      <c r="BA17" s="16" t="str">
        <f t="shared" si="9"/>
        <v>Non-Compliant</v>
      </c>
      <c r="BB17" s="12"/>
    </row>
    <row r="18" spans="1:54" x14ac:dyDescent="0.3">
      <c r="A18" s="10">
        <v>16</v>
      </c>
      <c r="B18" s="11" t="s">
        <v>80</v>
      </c>
      <c r="C18" s="11" t="s">
        <v>73</v>
      </c>
      <c r="D18" s="12" t="s">
        <v>207</v>
      </c>
      <c r="E18" s="1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4" t="str">
        <f t="shared" si="0"/>
        <v/>
      </c>
      <c r="AS18" s="14" t="str">
        <f t="shared" si="1"/>
        <v/>
      </c>
      <c r="AT18" s="14" t="str">
        <f t="shared" si="2"/>
        <v/>
      </c>
      <c r="AU18" s="14" t="str">
        <f t="shared" si="3"/>
        <v/>
      </c>
      <c r="AV18" s="14" t="str">
        <f t="shared" si="4"/>
        <v/>
      </c>
      <c r="AW18" s="14" t="str">
        <f t="shared" si="5"/>
        <v/>
      </c>
      <c r="AX18" s="14" t="str">
        <f t="shared" si="6"/>
        <v/>
      </c>
      <c r="AY18" s="14" t="str">
        <f t="shared" si="7"/>
        <v/>
      </c>
      <c r="AZ18" s="15">
        <f t="shared" si="8"/>
        <v>0</v>
      </c>
      <c r="BA18" s="16" t="str">
        <f t="shared" si="9"/>
        <v>Non-Compliant</v>
      </c>
      <c r="BB18" s="12"/>
    </row>
    <row r="19" spans="1:54" x14ac:dyDescent="0.3">
      <c r="A19" s="10">
        <v>17</v>
      </c>
      <c r="B19" s="11" t="s">
        <v>81</v>
      </c>
      <c r="C19" s="11" t="s">
        <v>82</v>
      </c>
      <c r="D19" s="12" t="s">
        <v>207</v>
      </c>
      <c r="E19" s="13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4" t="str">
        <f t="shared" si="0"/>
        <v/>
      </c>
      <c r="AS19" s="14" t="str">
        <f t="shared" si="1"/>
        <v/>
      </c>
      <c r="AT19" s="14" t="str">
        <f t="shared" si="2"/>
        <v/>
      </c>
      <c r="AU19" s="14" t="str">
        <f t="shared" si="3"/>
        <v/>
      </c>
      <c r="AV19" s="14" t="str">
        <f t="shared" si="4"/>
        <v/>
      </c>
      <c r="AW19" s="14" t="str">
        <f t="shared" si="5"/>
        <v/>
      </c>
      <c r="AX19" s="14" t="str">
        <f t="shared" si="6"/>
        <v/>
      </c>
      <c r="AY19" s="14" t="str">
        <f t="shared" si="7"/>
        <v/>
      </c>
      <c r="AZ19" s="15">
        <f t="shared" si="8"/>
        <v>0</v>
      </c>
      <c r="BA19" s="16" t="str">
        <f t="shared" si="9"/>
        <v>Non-Compliant</v>
      </c>
      <c r="BB19" s="12"/>
    </row>
    <row r="20" spans="1:54" x14ac:dyDescent="0.3">
      <c r="A20" s="10">
        <v>18</v>
      </c>
      <c r="B20" s="11" t="s">
        <v>83</v>
      </c>
      <c r="C20" s="11" t="s">
        <v>82</v>
      </c>
      <c r="D20" s="12" t="s">
        <v>207</v>
      </c>
      <c r="E20" s="13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4" t="str">
        <f t="shared" si="0"/>
        <v/>
      </c>
      <c r="AS20" s="14" t="str">
        <f t="shared" si="1"/>
        <v/>
      </c>
      <c r="AT20" s="14" t="str">
        <f t="shared" si="2"/>
        <v/>
      </c>
      <c r="AU20" s="14" t="str">
        <f t="shared" si="3"/>
        <v/>
      </c>
      <c r="AV20" s="14" t="str">
        <f t="shared" si="4"/>
        <v/>
      </c>
      <c r="AW20" s="14" t="str">
        <f t="shared" si="5"/>
        <v/>
      </c>
      <c r="AX20" s="14" t="str">
        <f t="shared" si="6"/>
        <v/>
      </c>
      <c r="AY20" s="14" t="str">
        <f t="shared" si="7"/>
        <v/>
      </c>
      <c r="AZ20" s="15">
        <f t="shared" si="8"/>
        <v>0</v>
      </c>
      <c r="BA20" s="16" t="str">
        <f t="shared" si="9"/>
        <v>Non-Compliant</v>
      </c>
      <c r="BB20" s="12"/>
    </row>
    <row r="21" spans="1:54" x14ac:dyDescent="0.3">
      <c r="A21" s="10">
        <v>19</v>
      </c>
      <c r="B21" s="11" t="s">
        <v>84</v>
      </c>
      <c r="C21" s="11" t="s">
        <v>85</v>
      </c>
      <c r="D21" s="12" t="s">
        <v>207</v>
      </c>
      <c r="E21" s="13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4" t="str">
        <f t="shared" si="0"/>
        <v/>
      </c>
      <c r="AS21" s="14" t="str">
        <f t="shared" si="1"/>
        <v/>
      </c>
      <c r="AT21" s="14" t="str">
        <f t="shared" si="2"/>
        <v/>
      </c>
      <c r="AU21" s="14" t="str">
        <f t="shared" si="3"/>
        <v/>
      </c>
      <c r="AV21" s="14" t="str">
        <f t="shared" si="4"/>
        <v/>
      </c>
      <c r="AW21" s="14" t="str">
        <f t="shared" si="5"/>
        <v/>
      </c>
      <c r="AX21" s="14" t="str">
        <f t="shared" si="6"/>
        <v/>
      </c>
      <c r="AY21" s="14" t="str">
        <f t="shared" si="7"/>
        <v/>
      </c>
      <c r="AZ21" s="15">
        <f t="shared" si="8"/>
        <v>0</v>
      </c>
      <c r="BA21" s="16" t="str">
        <f t="shared" si="9"/>
        <v>Non-Compliant</v>
      </c>
      <c r="BB21" s="12"/>
    </row>
    <row r="22" spans="1:54" x14ac:dyDescent="0.3">
      <c r="A22" s="10">
        <v>20</v>
      </c>
      <c r="B22" s="11" t="s">
        <v>86</v>
      </c>
      <c r="C22" s="11" t="s">
        <v>85</v>
      </c>
      <c r="D22" s="12" t="s">
        <v>207</v>
      </c>
      <c r="E22" s="13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4" t="str">
        <f t="shared" si="0"/>
        <v/>
      </c>
      <c r="AS22" s="14" t="str">
        <f t="shared" si="1"/>
        <v/>
      </c>
      <c r="AT22" s="14" t="str">
        <f t="shared" si="2"/>
        <v/>
      </c>
      <c r="AU22" s="14" t="str">
        <f t="shared" si="3"/>
        <v/>
      </c>
      <c r="AV22" s="14" t="str">
        <f t="shared" si="4"/>
        <v/>
      </c>
      <c r="AW22" s="14" t="str">
        <f t="shared" si="5"/>
        <v/>
      </c>
      <c r="AX22" s="14" t="str">
        <f t="shared" si="6"/>
        <v/>
      </c>
      <c r="AY22" s="14" t="str">
        <f t="shared" si="7"/>
        <v/>
      </c>
      <c r="AZ22" s="15">
        <f t="shared" si="8"/>
        <v>0</v>
      </c>
      <c r="BA22" s="16" t="str">
        <f t="shared" si="9"/>
        <v>Non-Compliant</v>
      </c>
      <c r="BB22" s="12"/>
    </row>
    <row r="23" spans="1:54" x14ac:dyDescent="0.3">
      <c r="A23" s="10">
        <v>21</v>
      </c>
      <c r="B23" s="11" t="s">
        <v>87</v>
      </c>
      <c r="C23" s="11" t="s">
        <v>85</v>
      </c>
      <c r="D23" s="12" t="s">
        <v>207</v>
      </c>
      <c r="E23" s="13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4" t="str">
        <f t="shared" si="0"/>
        <v/>
      </c>
      <c r="AS23" s="14" t="str">
        <f t="shared" si="1"/>
        <v/>
      </c>
      <c r="AT23" s="14" t="str">
        <f t="shared" si="2"/>
        <v/>
      </c>
      <c r="AU23" s="14" t="str">
        <f t="shared" si="3"/>
        <v/>
      </c>
      <c r="AV23" s="14" t="str">
        <f t="shared" si="4"/>
        <v/>
      </c>
      <c r="AW23" s="14" t="str">
        <f t="shared" si="5"/>
        <v/>
      </c>
      <c r="AX23" s="14" t="str">
        <f t="shared" si="6"/>
        <v/>
      </c>
      <c r="AY23" s="14" t="str">
        <f t="shared" si="7"/>
        <v/>
      </c>
      <c r="AZ23" s="15">
        <f t="shared" si="8"/>
        <v>0</v>
      </c>
      <c r="BA23" s="16" t="str">
        <f t="shared" si="9"/>
        <v>Non-Compliant</v>
      </c>
      <c r="BB23" s="12"/>
    </row>
    <row r="24" spans="1:54" x14ac:dyDescent="0.3">
      <c r="A24" s="10">
        <v>22</v>
      </c>
      <c r="B24" s="11" t="s">
        <v>88</v>
      </c>
      <c r="C24" s="11" t="s">
        <v>89</v>
      </c>
      <c r="D24" s="12" t="s">
        <v>207</v>
      </c>
      <c r="E24" s="13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4" t="str">
        <f t="shared" si="0"/>
        <v/>
      </c>
      <c r="AS24" s="14" t="str">
        <f t="shared" si="1"/>
        <v/>
      </c>
      <c r="AT24" s="14" t="str">
        <f t="shared" si="2"/>
        <v/>
      </c>
      <c r="AU24" s="14" t="str">
        <f t="shared" si="3"/>
        <v/>
      </c>
      <c r="AV24" s="14" t="str">
        <f t="shared" si="4"/>
        <v/>
      </c>
      <c r="AW24" s="14" t="str">
        <f t="shared" si="5"/>
        <v/>
      </c>
      <c r="AX24" s="14" t="str">
        <f t="shared" si="6"/>
        <v/>
      </c>
      <c r="AY24" s="14" t="str">
        <f t="shared" si="7"/>
        <v/>
      </c>
      <c r="AZ24" s="15">
        <f t="shared" si="8"/>
        <v>0</v>
      </c>
      <c r="BA24" s="16" t="str">
        <f t="shared" si="9"/>
        <v>Non-Compliant</v>
      </c>
      <c r="BB24" s="12"/>
    </row>
    <row r="25" spans="1:54" x14ac:dyDescent="0.3">
      <c r="A25" s="10">
        <v>23</v>
      </c>
      <c r="B25" s="11" t="s">
        <v>90</v>
      </c>
      <c r="C25" s="11" t="s">
        <v>89</v>
      </c>
      <c r="D25" s="12" t="s">
        <v>207</v>
      </c>
      <c r="E25" s="13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4" t="str">
        <f t="shared" si="0"/>
        <v/>
      </c>
      <c r="AS25" s="14" t="str">
        <f t="shared" si="1"/>
        <v/>
      </c>
      <c r="AT25" s="14" t="str">
        <f t="shared" si="2"/>
        <v/>
      </c>
      <c r="AU25" s="14" t="str">
        <f t="shared" si="3"/>
        <v/>
      </c>
      <c r="AV25" s="14" t="str">
        <f t="shared" si="4"/>
        <v/>
      </c>
      <c r="AW25" s="14" t="str">
        <f t="shared" si="5"/>
        <v/>
      </c>
      <c r="AX25" s="14" t="str">
        <f t="shared" si="6"/>
        <v/>
      </c>
      <c r="AY25" s="14" t="str">
        <f t="shared" si="7"/>
        <v/>
      </c>
      <c r="AZ25" s="15">
        <f t="shared" si="8"/>
        <v>0</v>
      </c>
      <c r="BA25" s="16" t="str">
        <f t="shared" si="9"/>
        <v>Non-Compliant</v>
      </c>
      <c r="BB25" s="12"/>
    </row>
    <row r="26" spans="1:54" x14ac:dyDescent="0.3">
      <c r="A26" s="10">
        <v>24</v>
      </c>
      <c r="B26" s="11" t="s">
        <v>91</v>
      </c>
      <c r="C26" s="11" t="s">
        <v>89</v>
      </c>
      <c r="D26" s="12" t="s">
        <v>207</v>
      </c>
      <c r="E26" s="13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4" t="str">
        <f t="shared" si="0"/>
        <v/>
      </c>
      <c r="AS26" s="14" t="str">
        <f t="shared" si="1"/>
        <v/>
      </c>
      <c r="AT26" s="14" t="str">
        <f t="shared" si="2"/>
        <v/>
      </c>
      <c r="AU26" s="14" t="str">
        <f t="shared" si="3"/>
        <v/>
      </c>
      <c r="AV26" s="14" t="str">
        <f t="shared" si="4"/>
        <v/>
      </c>
      <c r="AW26" s="14" t="str">
        <f t="shared" si="5"/>
        <v/>
      </c>
      <c r="AX26" s="14" t="str">
        <f t="shared" si="6"/>
        <v/>
      </c>
      <c r="AY26" s="14" t="str">
        <f t="shared" si="7"/>
        <v/>
      </c>
      <c r="AZ26" s="15">
        <f t="shared" si="8"/>
        <v>0</v>
      </c>
      <c r="BA26" s="16" t="str">
        <f t="shared" si="9"/>
        <v>Non-Compliant</v>
      </c>
      <c r="BB26" s="12"/>
    </row>
    <row r="27" spans="1:54" x14ac:dyDescent="0.3">
      <c r="A27" s="10">
        <v>25</v>
      </c>
      <c r="B27" s="11" t="s">
        <v>92</v>
      </c>
      <c r="C27" s="11" t="s">
        <v>89</v>
      </c>
      <c r="D27" s="12" t="s">
        <v>207</v>
      </c>
      <c r="E27" s="13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4" t="str">
        <f t="shared" si="0"/>
        <v/>
      </c>
      <c r="AS27" s="14" t="str">
        <f t="shared" si="1"/>
        <v/>
      </c>
      <c r="AT27" s="14" t="str">
        <f t="shared" si="2"/>
        <v/>
      </c>
      <c r="AU27" s="14" t="str">
        <f t="shared" si="3"/>
        <v/>
      </c>
      <c r="AV27" s="14" t="str">
        <f t="shared" si="4"/>
        <v/>
      </c>
      <c r="AW27" s="14" t="str">
        <f t="shared" si="5"/>
        <v/>
      </c>
      <c r="AX27" s="14" t="str">
        <f t="shared" si="6"/>
        <v/>
      </c>
      <c r="AY27" s="14" t="str">
        <f t="shared" si="7"/>
        <v/>
      </c>
      <c r="AZ27" s="15">
        <f t="shared" si="8"/>
        <v>0</v>
      </c>
      <c r="BA27" s="16" t="str">
        <f t="shared" si="9"/>
        <v>Non-Compliant</v>
      </c>
      <c r="BB27" s="12"/>
    </row>
    <row r="28" spans="1:54" x14ac:dyDescent="0.3">
      <c r="A28" s="10">
        <v>26</v>
      </c>
      <c r="B28" s="11" t="s">
        <v>93</v>
      </c>
      <c r="C28" s="11" t="s">
        <v>89</v>
      </c>
      <c r="D28" s="12" t="s">
        <v>207</v>
      </c>
      <c r="E28" s="13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4" t="str">
        <f t="shared" si="0"/>
        <v/>
      </c>
      <c r="AS28" s="14" t="str">
        <f t="shared" si="1"/>
        <v/>
      </c>
      <c r="AT28" s="14" t="str">
        <f t="shared" si="2"/>
        <v/>
      </c>
      <c r="AU28" s="14" t="str">
        <f t="shared" si="3"/>
        <v/>
      </c>
      <c r="AV28" s="14" t="str">
        <f t="shared" si="4"/>
        <v/>
      </c>
      <c r="AW28" s="14" t="str">
        <f t="shared" si="5"/>
        <v/>
      </c>
      <c r="AX28" s="14" t="str">
        <f t="shared" si="6"/>
        <v/>
      </c>
      <c r="AY28" s="14" t="str">
        <f t="shared" si="7"/>
        <v/>
      </c>
      <c r="AZ28" s="15">
        <f t="shared" si="8"/>
        <v>0</v>
      </c>
      <c r="BA28" s="16" t="str">
        <f t="shared" si="9"/>
        <v>Non-Compliant</v>
      </c>
      <c r="BB28" s="12"/>
    </row>
    <row r="29" spans="1:54" x14ac:dyDescent="0.3">
      <c r="A29" s="10">
        <v>27</v>
      </c>
      <c r="B29" s="11" t="s">
        <v>94</v>
      </c>
      <c r="C29" s="11" t="s">
        <v>95</v>
      </c>
      <c r="D29" s="12" t="s">
        <v>207</v>
      </c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4" t="str">
        <f t="shared" si="0"/>
        <v/>
      </c>
      <c r="AS29" s="14" t="str">
        <f t="shared" si="1"/>
        <v/>
      </c>
      <c r="AT29" s="14" t="str">
        <f t="shared" si="2"/>
        <v/>
      </c>
      <c r="AU29" s="14" t="str">
        <f t="shared" si="3"/>
        <v/>
      </c>
      <c r="AV29" s="14" t="str">
        <f t="shared" si="4"/>
        <v/>
      </c>
      <c r="AW29" s="14" t="str">
        <f t="shared" si="5"/>
        <v/>
      </c>
      <c r="AX29" s="14" t="str">
        <f t="shared" si="6"/>
        <v/>
      </c>
      <c r="AY29" s="14" t="str">
        <f t="shared" si="7"/>
        <v/>
      </c>
      <c r="AZ29" s="15">
        <f t="shared" si="8"/>
        <v>0</v>
      </c>
      <c r="BA29" s="16" t="str">
        <f t="shared" si="9"/>
        <v>Non-Compliant</v>
      </c>
      <c r="BB29" s="12"/>
    </row>
    <row r="30" spans="1:54" x14ac:dyDescent="0.3">
      <c r="A30" s="10">
        <v>28</v>
      </c>
      <c r="B30" s="11" t="s">
        <v>96</v>
      </c>
      <c r="C30" s="11" t="s">
        <v>95</v>
      </c>
      <c r="D30" s="12" t="s">
        <v>207</v>
      </c>
      <c r="E30" s="13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4" t="str">
        <f t="shared" si="0"/>
        <v/>
      </c>
      <c r="AS30" s="14" t="str">
        <f t="shared" si="1"/>
        <v/>
      </c>
      <c r="AT30" s="14" t="str">
        <f t="shared" si="2"/>
        <v/>
      </c>
      <c r="AU30" s="14" t="str">
        <f t="shared" si="3"/>
        <v/>
      </c>
      <c r="AV30" s="14" t="str">
        <f t="shared" si="4"/>
        <v/>
      </c>
      <c r="AW30" s="14" t="str">
        <f t="shared" si="5"/>
        <v/>
      </c>
      <c r="AX30" s="14" t="str">
        <f t="shared" si="6"/>
        <v/>
      </c>
      <c r="AY30" s="14" t="str">
        <f t="shared" si="7"/>
        <v/>
      </c>
      <c r="AZ30" s="15">
        <f t="shared" si="8"/>
        <v>0</v>
      </c>
      <c r="BA30" s="16" t="str">
        <f t="shared" si="9"/>
        <v>Non-Compliant</v>
      </c>
      <c r="BB30" s="12"/>
    </row>
    <row r="31" spans="1:54" x14ac:dyDescent="0.3">
      <c r="A31" s="10">
        <v>29</v>
      </c>
      <c r="B31" s="11" t="s">
        <v>97</v>
      </c>
      <c r="C31" s="11" t="s">
        <v>95</v>
      </c>
      <c r="D31" s="12" t="s">
        <v>207</v>
      </c>
      <c r="E31" s="13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4" t="str">
        <f t="shared" si="0"/>
        <v/>
      </c>
      <c r="AS31" s="14" t="str">
        <f t="shared" si="1"/>
        <v/>
      </c>
      <c r="AT31" s="14" t="str">
        <f t="shared" si="2"/>
        <v/>
      </c>
      <c r="AU31" s="14" t="str">
        <f t="shared" si="3"/>
        <v/>
      </c>
      <c r="AV31" s="14" t="str">
        <f t="shared" si="4"/>
        <v/>
      </c>
      <c r="AW31" s="14" t="str">
        <f t="shared" si="5"/>
        <v/>
      </c>
      <c r="AX31" s="14" t="str">
        <f t="shared" si="6"/>
        <v/>
      </c>
      <c r="AY31" s="14" t="str">
        <f t="shared" si="7"/>
        <v/>
      </c>
      <c r="AZ31" s="15">
        <f t="shared" si="8"/>
        <v>0</v>
      </c>
      <c r="BA31" s="16" t="str">
        <f t="shared" si="9"/>
        <v>Non-Compliant</v>
      </c>
      <c r="BB31" s="12"/>
    </row>
    <row r="1048576" spans="4:4" x14ac:dyDescent="0.3">
      <c r="D1048576" s="12" t="s">
        <v>207</v>
      </c>
    </row>
  </sheetData>
  <mergeCells count="24">
    <mergeCell ref="C1:C2"/>
    <mergeCell ref="E1:E2"/>
    <mergeCell ref="BB1:BB2"/>
    <mergeCell ref="L1:Q1"/>
    <mergeCell ref="AK1:AM1"/>
    <mergeCell ref="R1:U1"/>
    <mergeCell ref="BA1:BA2"/>
    <mergeCell ref="AZ1:AZ2"/>
    <mergeCell ref="A1:A2"/>
    <mergeCell ref="B1:B2"/>
    <mergeCell ref="AW1:AW2"/>
    <mergeCell ref="AY1:AY2"/>
    <mergeCell ref="Z1:AE1"/>
    <mergeCell ref="F1:K1"/>
    <mergeCell ref="V1:Y1"/>
    <mergeCell ref="AN1:AQ1"/>
    <mergeCell ref="AR1:AR2"/>
    <mergeCell ref="AT1:AT2"/>
    <mergeCell ref="AV1:AV2"/>
    <mergeCell ref="AX1:AX2"/>
    <mergeCell ref="AF1:AJ1"/>
    <mergeCell ref="D1:D2"/>
    <mergeCell ref="AS1:AS2"/>
    <mergeCell ref="AU1:AU2"/>
  </mergeCells>
  <conditionalFormatting sqref="F3:AQ31">
    <cfRule type="cellIs" dxfId="14" priority="7" operator="equal">
      <formula>"Yes"</formula>
    </cfRule>
    <cfRule type="cellIs" dxfId="13" priority="8" operator="equal">
      <formula>"Partial"</formula>
    </cfRule>
    <cfRule type="cellIs" dxfId="12" priority="9" operator="equal">
      <formula>"No"</formula>
    </cfRule>
  </conditionalFormatting>
  <conditionalFormatting sqref="AR3:AZ31">
    <cfRule type="cellIs" dxfId="11" priority="1" operator="greaterThanOrEqual">
      <formula>80</formula>
    </cfRule>
    <cfRule type="cellIs" dxfId="10" priority="2" operator="between">
      <formula>50</formula>
      <formula>79.9</formula>
    </cfRule>
    <cfRule type="cellIs" dxfId="9" priority="3" operator="lessThan">
      <formula>50</formula>
    </cfRule>
  </conditionalFormatting>
  <conditionalFormatting sqref="BA3:BA31">
    <cfRule type="cellIs" dxfId="8" priority="4" operator="equal">
      <formula>"Compliant"</formula>
    </cfRule>
    <cfRule type="cellIs" dxfId="7" priority="5" operator="equal">
      <formula>"Partial"</formula>
    </cfRule>
    <cfRule type="cellIs" dxfId="6" priority="6" operator="equal">
      <formula>"Non-Compliant"</formula>
    </cfRule>
  </conditionalFormatting>
  <dataValidations count="2">
    <dataValidation type="list" allowBlank="1" errorTitle="Invalid Entry" error="Please select: Yes, No, Partial, or NA" promptTitle="Select Response" prompt="Yes = Available &amp; working_x000a_No = Not available_x000a_Partial = Available but damaged/incomplete_x000a_NA = Not applicable" sqref="F3:AQ31" xr:uid="{00000000-0002-0000-0000-000000000000}">
      <formula1>"Yes,No,Partial,NA"</formula1>
    </dataValidation>
    <dataValidation type="date" allowBlank="1" error="Please enter a valid date" sqref="E3:E31" xr:uid="{00000000-0002-0000-0000-000001000000}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M30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16" customWidth="1"/>
    <col min="3" max="3" width="20" customWidth="1"/>
    <col min="4" max="13" width="22" customWidth="1"/>
  </cols>
  <sheetData>
    <row r="1" spans="1:13" ht="28.8" x14ac:dyDescent="0.3">
      <c r="A1" s="1" t="s">
        <v>0</v>
      </c>
      <c r="B1" s="1" t="s">
        <v>98</v>
      </c>
      <c r="C1" s="1" t="s">
        <v>99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100</v>
      </c>
      <c r="M1" s="1" t="s">
        <v>101</v>
      </c>
    </row>
    <row r="2" spans="1:13" x14ac:dyDescent="0.3">
      <c r="A2" s="10">
        <v>1</v>
      </c>
      <c r="B2" s="17" t="s">
        <v>62</v>
      </c>
      <c r="C2" s="17" t="s">
        <v>63</v>
      </c>
      <c r="D2" s="18">
        <f>'Raw Audit Data'!AR3</f>
        <v>16.666666666666664</v>
      </c>
      <c r="E2" s="18">
        <f>'Raw Audit Data'!AS3</f>
        <v>66.666666666666657</v>
      </c>
      <c r="F2" s="18">
        <f>'Raw Audit Data'!AT3</f>
        <v>100</v>
      </c>
      <c r="G2" s="18">
        <f>'Raw Audit Data'!AU3</f>
        <v>50</v>
      </c>
      <c r="H2" s="18">
        <f>'Raw Audit Data'!AV3</f>
        <v>66.666666666666657</v>
      </c>
      <c r="I2" s="18">
        <f>'Raw Audit Data'!AW3</f>
        <v>20</v>
      </c>
      <c r="J2" s="18">
        <f>'Raw Audit Data'!AX3</f>
        <v>66.666666666666657</v>
      </c>
      <c r="K2" s="18">
        <f>'Raw Audit Data'!AY3</f>
        <v>75</v>
      </c>
      <c r="L2" s="15">
        <f>'Raw Audit Data'!AZ3</f>
        <v>0</v>
      </c>
      <c r="M2" s="19" t="str">
        <f>'Raw Audit Data'!BA3</f>
        <v>Non-Compliant</v>
      </c>
    </row>
    <row r="3" spans="1:13" x14ac:dyDescent="0.3">
      <c r="A3" s="10">
        <v>2</v>
      </c>
      <c r="B3" s="17" t="s">
        <v>64</v>
      </c>
      <c r="C3" s="17" t="s">
        <v>63</v>
      </c>
      <c r="D3" s="18" t="str">
        <f>'Raw Audit Data'!AR4</f>
        <v/>
      </c>
      <c r="E3" s="18" t="str">
        <f>'Raw Audit Data'!AS4</f>
        <v/>
      </c>
      <c r="F3" s="18" t="str">
        <f>'Raw Audit Data'!AT4</f>
        <v/>
      </c>
      <c r="G3" s="18" t="str">
        <f>'Raw Audit Data'!AU4</f>
        <v/>
      </c>
      <c r="H3" s="18" t="str">
        <f>'Raw Audit Data'!AV4</f>
        <v/>
      </c>
      <c r="I3" s="18" t="str">
        <f>'Raw Audit Data'!AW4</f>
        <v/>
      </c>
      <c r="J3" s="18" t="str">
        <f>'Raw Audit Data'!AX4</f>
        <v/>
      </c>
      <c r="K3" s="18" t="str">
        <f>'Raw Audit Data'!AY4</f>
        <v/>
      </c>
      <c r="L3" s="15">
        <f>'Raw Audit Data'!AZ4</f>
        <v>0</v>
      </c>
      <c r="M3" s="19" t="str">
        <f>'Raw Audit Data'!BA4</f>
        <v>Non-Compliant</v>
      </c>
    </row>
    <row r="4" spans="1:13" x14ac:dyDescent="0.3">
      <c r="A4" s="10">
        <v>3</v>
      </c>
      <c r="B4" s="17" t="s">
        <v>65</v>
      </c>
      <c r="C4" s="17" t="s">
        <v>63</v>
      </c>
      <c r="D4" s="18" t="str">
        <f>'Raw Audit Data'!AR5</f>
        <v/>
      </c>
      <c r="E4" s="18" t="str">
        <f>'Raw Audit Data'!AS5</f>
        <v/>
      </c>
      <c r="F4" s="18" t="str">
        <f>'Raw Audit Data'!AT5</f>
        <v/>
      </c>
      <c r="G4" s="18" t="str">
        <f>'Raw Audit Data'!AU5</f>
        <v/>
      </c>
      <c r="H4" s="18" t="str">
        <f>'Raw Audit Data'!AV5</f>
        <v/>
      </c>
      <c r="I4" s="18" t="str">
        <f>'Raw Audit Data'!AW5</f>
        <v/>
      </c>
      <c r="J4" s="18" t="str">
        <f>'Raw Audit Data'!AX5</f>
        <v/>
      </c>
      <c r="K4" s="18" t="str">
        <f>'Raw Audit Data'!AY5</f>
        <v/>
      </c>
      <c r="L4" s="15">
        <f>'Raw Audit Data'!AZ5</f>
        <v>0</v>
      </c>
      <c r="M4" s="19" t="str">
        <f>'Raw Audit Data'!BA5</f>
        <v>Non-Compliant</v>
      </c>
    </row>
    <row r="5" spans="1:13" x14ac:dyDescent="0.3">
      <c r="A5" s="10">
        <v>4</v>
      </c>
      <c r="B5" s="17" t="s">
        <v>66</v>
      </c>
      <c r="C5" s="17" t="s">
        <v>67</v>
      </c>
      <c r="D5" s="18" t="str">
        <f>'Raw Audit Data'!AR6</f>
        <v/>
      </c>
      <c r="E5" s="18" t="str">
        <f>'Raw Audit Data'!AS6</f>
        <v/>
      </c>
      <c r="F5" s="18" t="str">
        <f>'Raw Audit Data'!AT6</f>
        <v/>
      </c>
      <c r="G5" s="18" t="str">
        <f>'Raw Audit Data'!AU6</f>
        <v/>
      </c>
      <c r="H5" s="18" t="str">
        <f>'Raw Audit Data'!AV6</f>
        <v/>
      </c>
      <c r="I5" s="18" t="str">
        <f>'Raw Audit Data'!AW6</f>
        <v/>
      </c>
      <c r="J5" s="18" t="str">
        <f>'Raw Audit Data'!AX6</f>
        <v/>
      </c>
      <c r="K5" s="18" t="str">
        <f>'Raw Audit Data'!AY6</f>
        <v/>
      </c>
      <c r="L5" s="15">
        <f>'Raw Audit Data'!AZ6</f>
        <v>0</v>
      </c>
      <c r="M5" s="19" t="str">
        <f>'Raw Audit Data'!BA6</f>
        <v>Non-Compliant</v>
      </c>
    </row>
    <row r="6" spans="1:13" x14ac:dyDescent="0.3">
      <c r="A6" s="10">
        <v>5</v>
      </c>
      <c r="B6" s="17" t="s">
        <v>68</v>
      </c>
      <c r="C6" s="17" t="s">
        <v>67</v>
      </c>
      <c r="D6" s="18" t="str">
        <f>'Raw Audit Data'!AR7</f>
        <v/>
      </c>
      <c r="E6" s="18" t="str">
        <f>'Raw Audit Data'!AS7</f>
        <v/>
      </c>
      <c r="F6" s="18" t="str">
        <f>'Raw Audit Data'!AT7</f>
        <v/>
      </c>
      <c r="G6" s="18" t="str">
        <f>'Raw Audit Data'!AU7</f>
        <v/>
      </c>
      <c r="H6" s="18" t="str">
        <f>'Raw Audit Data'!AV7</f>
        <v/>
      </c>
      <c r="I6" s="18" t="str">
        <f>'Raw Audit Data'!AW7</f>
        <v/>
      </c>
      <c r="J6" s="18" t="str">
        <f>'Raw Audit Data'!AX7</f>
        <v/>
      </c>
      <c r="K6" s="18" t="str">
        <f>'Raw Audit Data'!AY7</f>
        <v/>
      </c>
      <c r="L6" s="15">
        <f>'Raw Audit Data'!AZ7</f>
        <v>0</v>
      </c>
      <c r="M6" s="19" t="str">
        <f>'Raw Audit Data'!BA7</f>
        <v>Non-Compliant</v>
      </c>
    </row>
    <row r="7" spans="1:13" x14ac:dyDescent="0.3">
      <c r="A7" s="10">
        <v>6</v>
      </c>
      <c r="B7" s="17" t="s">
        <v>69</v>
      </c>
      <c r="C7" s="17" t="s">
        <v>67</v>
      </c>
      <c r="D7" s="18" t="str">
        <f>'Raw Audit Data'!AR8</f>
        <v/>
      </c>
      <c r="E7" s="18" t="str">
        <f>'Raw Audit Data'!AS8</f>
        <v/>
      </c>
      <c r="F7" s="18" t="str">
        <f>'Raw Audit Data'!AT8</f>
        <v/>
      </c>
      <c r="G7" s="18" t="str">
        <f>'Raw Audit Data'!AU8</f>
        <v/>
      </c>
      <c r="H7" s="18" t="str">
        <f>'Raw Audit Data'!AV8</f>
        <v/>
      </c>
      <c r="I7" s="18" t="str">
        <f>'Raw Audit Data'!AW8</f>
        <v/>
      </c>
      <c r="J7" s="18" t="str">
        <f>'Raw Audit Data'!AX8</f>
        <v/>
      </c>
      <c r="K7" s="18" t="str">
        <f>'Raw Audit Data'!AY8</f>
        <v/>
      </c>
      <c r="L7" s="15">
        <f>'Raw Audit Data'!AZ8</f>
        <v>0</v>
      </c>
      <c r="M7" s="19" t="str">
        <f>'Raw Audit Data'!BA8</f>
        <v>Non-Compliant</v>
      </c>
    </row>
    <row r="8" spans="1:13" x14ac:dyDescent="0.3">
      <c r="A8" s="10">
        <v>7</v>
      </c>
      <c r="B8" s="17" t="s">
        <v>70</v>
      </c>
      <c r="C8" s="17" t="s">
        <v>67</v>
      </c>
      <c r="D8" s="18" t="str">
        <f>'Raw Audit Data'!AR9</f>
        <v/>
      </c>
      <c r="E8" s="18" t="str">
        <f>'Raw Audit Data'!AS9</f>
        <v/>
      </c>
      <c r="F8" s="18" t="str">
        <f>'Raw Audit Data'!AT9</f>
        <v/>
      </c>
      <c r="G8" s="18" t="str">
        <f>'Raw Audit Data'!AU9</f>
        <v/>
      </c>
      <c r="H8" s="18" t="str">
        <f>'Raw Audit Data'!AV9</f>
        <v/>
      </c>
      <c r="I8" s="18" t="str">
        <f>'Raw Audit Data'!AW9</f>
        <v/>
      </c>
      <c r="J8" s="18" t="str">
        <f>'Raw Audit Data'!AX9</f>
        <v/>
      </c>
      <c r="K8" s="18" t="str">
        <f>'Raw Audit Data'!AY9</f>
        <v/>
      </c>
      <c r="L8" s="15">
        <f>'Raw Audit Data'!AZ9</f>
        <v>0</v>
      </c>
      <c r="M8" s="19" t="str">
        <f>'Raw Audit Data'!BA9</f>
        <v>Non-Compliant</v>
      </c>
    </row>
    <row r="9" spans="1:13" x14ac:dyDescent="0.3">
      <c r="A9" s="10">
        <v>8</v>
      </c>
      <c r="B9" s="17" t="s">
        <v>71</v>
      </c>
      <c r="C9" s="17" t="s">
        <v>67</v>
      </c>
      <c r="D9" s="18" t="str">
        <f>'Raw Audit Data'!AR10</f>
        <v/>
      </c>
      <c r="E9" s="18" t="str">
        <f>'Raw Audit Data'!AS10</f>
        <v/>
      </c>
      <c r="F9" s="18" t="str">
        <f>'Raw Audit Data'!AT10</f>
        <v/>
      </c>
      <c r="G9" s="18" t="str">
        <f>'Raw Audit Data'!AU10</f>
        <v/>
      </c>
      <c r="H9" s="18" t="str">
        <f>'Raw Audit Data'!AV10</f>
        <v/>
      </c>
      <c r="I9" s="18" t="str">
        <f>'Raw Audit Data'!AW10</f>
        <v/>
      </c>
      <c r="J9" s="18" t="str">
        <f>'Raw Audit Data'!AX10</f>
        <v/>
      </c>
      <c r="K9" s="18" t="str">
        <f>'Raw Audit Data'!AY10</f>
        <v/>
      </c>
      <c r="L9" s="15">
        <f>'Raw Audit Data'!AZ10</f>
        <v>0</v>
      </c>
      <c r="M9" s="19" t="str">
        <f>'Raw Audit Data'!BA10</f>
        <v>Non-Compliant</v>
      </c>
    </row>
    <row r="10" spans="1:13" x14ac:dyDescent="0.3">
      <c r="A10" s="10">
        <v>9</v>
      </c>
      <c r="B10" s="17" t="s">
        <v>72</v>
      </c>
      <c r="C10" s="17" t="s">
        <v>73</v>
      </c>
      <c r="D10" s="18" t="str">
        <f>'Raw Audit Data'!AR11</f>
        <v/>
      </c>
      <c r="E10" s="18" t="str">
        <f>'Raw Audit Data'!AS11</f>
        <v/>
      </c>
      <c r="F10" s="18" t="str">
        <f>'Raw Audit Data'!AT11</f>
        <v/>
      </c>
      <c r="G10" s="18" t="str">
        <f>'Raw Audit Data'!AU11</f>
        <v/>
      </c>
      <c r="H10" s="18" t="str">
        <f>'Raw Audit Data'!AV11</f>
        <v/>
      </c>
      <c r="I10" s="18" t="str">
        <f>'Raw Audit Data'!AW11</f>
        <v/>
      </c>
      <c r="J10" s="18" t="str">
        <f>'Raw Audit Data'!AX11</f>
        <v/>
      </c>
      <c r="K10" s="18" t="str">
        <f>'Raw Audit Data'!AY11</f>
        <v/>
      </c>
      <c r="L10" s="15">
        <f>'Raw Audit Data'!AZ11</f>
        <v>0</v>
      </c>
      <c r="M10" s="19" t="str">
        <f>'Raw Audit Data'!BA11</f>
        <v>Non-Compliant</v>
      </c>
    </row>
    <row r="11" spans="1:13" x14ac:dyDescent="0.3">
      <c r="A11" s="10">
        <v>10</v>
      </c>
      <c r="B11" s="17" t="s">
        <v>74</v>
      </c>
      <c r="C11" s="17" t="s">
        <v>73</v>
      </c>
      <c r="D11" s="18" t="str">
        <f>'Raw Audit Data'!AR12</f>
        <v/>
      </c>
      <c r="E11" s="18" t="str">
        <f>'Raw Audit Data'!AS12</f>
        <v/>
      </c>
      <c r="F11" s="18" t="str">
        <f>'Raw Audit Data'!AT12</f>
        <v/>
      </c>
      <c r="G11" s="18" t="str">
        <f>'Raw Audit Data'!AU12</f>
        <v/>
      </c>
      <c r="H11" s="18" t="str">
        <f>'Raw Audit Data'!AV12</f>
        <v/>
      </c>
      <c r="I11" s="18" t="str">
        <f>'Raw Audit Data'!AW12</f>
        <v/>
      </c>
      <c r="J11" s="18" t="str">
        <f>'Raw Audit Data'!AX12</f>
        <v/>
      </c>
      <c r="K11" s="18" t="str">
        <f>'Raw Audit Data'!AY12</f>
        <v/>
      </c>
      <c r="L11" s="15">
        <f>'Raw Audit Data'!AZ12</f>
        <v>0</v>
      </c>
      <c r="M11" s="19" t="str">
        <f>'Raw Audit Data'!BA12</f>
        <v>Non-Compliant</v>
      </c>
    </row>
    <row r="12" spans="1:13" x14ac:dyDescent="0.3">
      <c r="A12" s="10">
        <v>11</v>
      </c>
      <c r="B12" s="17" t="s">
        <v>75</v>
      </c>
      <c r="C12" s="17" t="s">
        <v>73</v>
      </c>
      <c r="D12" s="18" t="str">
        <f>'Raw Audit Data'!AR13</f>
        <v/>
      </c>
      <c r="E12" s="18" t="str">
        <f>'Raw Audit Data'!AS13</f>
        <v/>
      </c>
      <c r="F12" s="18" t="str">
        <f>'Raw Audit Data'!AT13</f>
        <v/>
      </c>
      <c r="G12" s="18" t="str">
        <f>'Raw Audit Data'!AU13</f>
        <v/>
      </c>
      <c r="H12" s="18" t="str">
        <f>'Raw Audit Data'!AV13</f>
        <v/>
      </c>
      <c r="I12" s="18" t="str">
        <f>'Raw Audit Data'!AW13</f>
        <v/>
      </c>
      <c r="J12" s="18" t="str">
        <f>'Raw Audit Data'!AX13</f>
        <v/>
      </c>
      <c r="K12" s="18" t="str">
        <f>'Raw Audit Data'!AY13</f>
        <v/>
      </c>
      <c r="L12" s="15">
        <f>'Raw Audit Data'!AZ13</f>
        <v>0</v>
      </c>
      <c r="M12" s="19" t="str">
        <f>'Raw Audit Data'!BA13</f>
        <v>Non-Compliant</v>
      </c>
    </row>
    <row r="13" spans="1:13" x14ac:dyDescent="0.3">
      <c r="A13" s="10">
        <v>12</v>
      </c>
      <c r="B13" s="17" t="s">
        <v>76</v>
      </c>
      <c r="C13" s="17" t="s">
        <v>73</v>
      </c>
      <c r="D13" s="18" t="str">
        <f>'Raw Audit Data'!AR14</f>
        <v/>
      </c>
      <c r="E13" s="18" t="str">
        <f>'Raw Audit Data'!AS14</f>
        <v/>
      </c>
      <c r="F13" s="18" t="str">
        <f>'Raw Audit Data'!AT14</f>
        <v/>
      </c>
      <c r="G13" s="18" t="str">
        <f>'Raw Audit Data'!AU14</f>
        <v/>
      </c>
      <c r="H13" s="18" t="str">
        <f>'Raw Audit Data'!AV14</f>
        <v/>
      </c>
      <c r="I13" s="18" t="str">
        <f>'Raw Audit Data'!AW14</f>
        <v/>
      </c>
      <c r="J13" s="18" t="str">
        <f>'Raw Audit Data'!AX14</f>
        <v/>
      </c>
      <c r="K13" s="18" t="str">
        <f>'Raw Audit Data'!AY14</f>
        <v/>
      </c>
      <c r="L13" s="15">
        <f>'Raw Audit Data'!AZ14</f>
        <v>0</v>
      </c>
      <c r="M13" s="19" t="str">
        <f>'Raw Audit Data'!BA14</f>
        <v>Non-Compliant</v>
      </c>
    </row>
    <row r="14" spans="1:13" x14ac:dyDescent="0.3">
      <c r="A14" s="10">
        <v>13</v>
      </c>
      <c r="B14" s="17" t="s">
        <v>77</v>
      </c>
      <c r="C14" s="17" t="s">
        <v>73</v>
      </c>
      <c r="D14" s="18" t="str">
        <f>'Raw Audit Data'!AR15</f>
        <v/>
      </c>
      <c r="E14" s="18" t="str">
        <f>'Raw Audit Data'!AS15</f>
        <v/>
      </c>
      <c r="F14" s="18" t="str">
        <f>'Raw Audit Data'!AT15</f>
        <v/>
      </c>
      <c r="G14" s="18" t="str">
        <f>'Raw Audit Data'!AU15</f>
        <v/>
      </c>
      <c r="H14" s="18" t="str">
        <f>'Raw Audit Data'!AV15</f>
        <v/>
      </c>
      <c r="I14" s="18" t="str">
        <f>'Raw Audit Data'!AW15</f>
        <v/>
      </c>
      <c r="J14" s="18" t="str">
        <f>'Raw Audit Data'!AX15</f>
        <v/>
      </c>
      <c r="K14" s="18" t="str">
        <f>'Raw Audit Data'!AY15</f>
        <v/>
      </c>
      <c r="L14" s="15">
        <f>'Raw Audit Data'!AZ15</f>
        <v>0</v>
      </c>
      <c r="M14" s="19" t="str">
        <f>'Raw Audit Data'!BA15</f>
        <v>Non-Compliant</v>
      </c>
    </row>
    <row r="15" spans="1:13" x14ac:dyDescent="0.3">
      <c r="A15" s="10">
        <v>14</v>
      </c>
      <c r="B15" s="17" t="s">
        <v>78</v>
      </c>
      <c r="C15" s="17" t="s">
        <v>73</v>
      </c>
      <c r="D15" s="18" t="str">
        <f>'Raw Audit Data'!AR16</f>
        <v/>
      </c>
      <c r="E15" s="18" t="str">
        <f>'Raw Audit Data'!AS16</f>
        <v/>
      </c>
      <c r="F15" s="18" t="str">
        <f>'Raw Audit Data'!AT16</f>
        <v/>
      </c>
      <c r="G15" s="18" t="str">
        <f>'Raw Audit Data'!AU16</f>
        <v/>
      </c>
      <c r="H15" s="18" t="str">
        <f>'Raw Audit Data'!AV16</f>
        <v/>
      </c>
      <c r="I15" s="18" t="str">
        <f>'Raw Audit Data'!AW16</f>
        <v/>
      </c>
      <c r="J15" s="18" t="str">
        <f>'Raw Audit Data'!AX16</f>
        <v/>
      </c>
      <c r="K15" s="18" t="str">
        <f>'Raw Audit Data'!AY16</f>
        <v/>
      </c>
      <c r="L15" s="15">
        <f>'Raw Audit Data'!AZ16</f>
        <v>0</v>
      </c>
      <c r="M15" s="19" t="str">
        <f>'Raw Audit Data'!BA16</f>
        <v>Non-Compliant</v>
      </c>
    </row>
    <row r="16" spans="1:13" x14ac:dyDescent="0.3">
      <c r="A16" s="10">
        <v>15</v>
      </c>
      <c r="B16" s="17" t="s">
        <v>79</v>
      </c>
      <c r="C16" s="17" t="s">
        <v>73</v>
      </c>
      <c r="D16" s="18" t="str">
        <f>'Raw Audit Data'!AR17</f>
        <v/>
      </c>
      <c r="E16" s="18" t="str">
        <f>'Raw Audit Data'!AS17</f>
        <v/>
      </c>
      <c r="F16" s="18" t="str">
        <f>'Raw Audit Data'!AT17</f>
        <v/>
      </c>
      <c r="G16" s="18" t="str">
        <f>'Raw Audit Data'!AU17</f>
        <v/>
      </c>
      <c r="H16" s="18" t="str">
        <f>'Raw Audit Data'!AV17</f>
        <v/>
      </c>
      <c r="I16" s="18" t="str">
        <f>'Raw Audit Data'!AW17</f>
        <v/>
      </c>
      <c r="J16" s="18" t="str">
        <f>'Raw Audit Data'!AX17</f>
        <v/>
      </c>
      <c r="K16" s="18" t="str">
        <f>'Raw Audit Data'!AY17</f>
        <v/>
      </c>
      <c r="L16" s="15">
        <f>'Raw Audit Data'!AZ17</f>
        <v>0</v>
      </c>
      <c r="M16" s="19" t="str">
        <f>'Raw Audit Data'!BA17</f>
        <v>Non-Compliant</v>
      </c>
    </row>
    <row r="17" spans="1:13" x14ac:dyDescent="0.3">
      <c r="A17" s="10">
        <v>16</v>
      </c>
      <c r="B17" s="17" t="s">
        <v>80</v>
      </c>
      <c r="C17" s="17" t="s">
        <v>73</v>
      </c>
      <c r="D17" s="18" t="str">
        <f>'Raw Audit Data'!AR18</f>
        <v/>
      </c>
      <c r="E17" s="18" t="str">
        <f>'Raw Audit Data'!AS18</f>
        <v/>
      </c>
      <c r="F17" s="18" t="str">
        <f>'Raw Audit Data'!AT18</f>
        <v/>
      </c>
      <c r="G17" s="18" t="str">
        <f>'Raw Audit Data'!AU18</f>
        <v/>
      </c>
      <c r="H17" s="18" t="str">
        <f>'Raw Audit Data'!AV18</f>
        <v/>
      </c>
      <c r="I17" s="18" t="str">
        <f>'Raw Audit Data'!AW18</f>
        <v/>
      </c>
      <c r="J17" s="18" t="str">
        <f>'Raw Audit Data'!AX18</f>
        <v/>
      </c>
      <c r="K17" s="18" t="str">
        <f>'Raw Audit Data'!AY18</f>
        <v/>
      </c>
      <c r="L17" s="15">
        <f>'Raw Audit Data'!AZ18</f>
        <v>0</v>
      </c>
      <c r="M17" s="19" t="str">
        <f>'Raw Audit Data'!BA18</f>
        <v>Non-Compliant</v>
      </c>
    </row>
    <row r="18" spans="1:13" x14ac:dyDescent="0.3">
      <c r="A18" s="10">
        <v>17</v>
      </c>
      <c r="B18" s="17" t="s">
        <v>81</v>
      </c>
      <c r="C18" s="17" t="s">
        <v>82</v>
      </c>
      <c r="D18" s="18" t="str">
        <f>'Raw Audit Data'!AR19</f>
        <v/>
      </c>
      <c r="E18" s="18" t="str">
        <f>'Raw Audit Data'!AS19</f>
        <v/>
      </c>
      <c r="F18" s="18" t="str">
        <f>'Raw Audit Data'!AT19</f>
        <v/>
      </c>
      <c r="G18" s="18" t="str">
        <f>'Raw Audit Data'!AU19</f>
        <v/>
      </c>
      <c r="H18" s="18" t="str">
        <f>'Raw Audit Data'!AV19</f>
        <v/>
      </c>
      <c r="I18" s="18" t="str">
        <f>'Raw Audit Data'!AW19</f>
        <v/>
      </c>
      <c r="J18" s="18" t="str">
        <f>'Raw Audit Data'!AX19</f>
        <v/>
      </c>
      <c r="K18" s="18" t="str">
        <f>'Raw Audit Data'!AY19</f>
        <v/>
      </c>
      <c r="L18" s="15">
        <f>'Raw Audit Data'!AZ19</f>
        <v>0</v>
      </c>
      <c r="M18" s="19" t="str">
        <f>'Raw Audit Data'!BA19</f>
        <v>Non-Compliant</v>
      </c>
    </row>
    <row r="19" spans="1:13" x14ac:dyDescent="0.3">
      <c r="A19" s="10">
        <v>18</v>
      </c>
      <c r="B19" s="17" t="s">
        <v>83</v>
      </c>
      <c r="C19" s="17" t="s">
        <v>82</v>
      </c>
      <c r="D19" s="18" t="str">
        <f>'Raw Audit Data'!AR20</f>
        <v/>
      </c>
      <c r="E19" s="18" t="str">
        <f>'Raw Audit Data'!AS20</f>
        <v/>
      </c>
      <c r="F19" s="18" t="str">
        <f>'Raw Audit Data'!AT20</f>
        <v/>
      </c>
      <c r="G19" s="18" t="str">
        <f>'Raw Audit Data'!AU20</f>
        <v/>
      </c>
      <c r="H19" s="18" t="str">
        <f>'Raw Audit Data'!AV20</f>
        <v/>
      </c>
      <c r="I19" s="18" t="str">
        <f>'Raw Audit Data'!AW20</f>
        <v/>
      </c>
      <c r="J19" s="18" t="str">
        <f>'Raw Audit Data'!AX20</f>
        <v/>
      </c>
      <c r="K19" s="18" t="str">
        <f>'Raw Audit Data'!AY20</f>
        <v/>
      </c>
      <c r="L19" s="15">
        <f>'Raw Audit Data'!AZ20</f>
        <v>0</v>
      </c>
      <c r="M19" s="19" t="str">
        <f>'Raw Audit Data'!BA20</f>
        <v>Non-Compliant</v>
      </c>
    </row>
    <row r="20" spans="1:13" x14ac:dyDescent="0.3">
      <c r="A20" s="10">
        <v>19</v>
      </c>
      <c r="B20" s="17" t="s">
        <v>84</v>
      </c>
      <c r="C20" s="17" t="s">
        <v>85</v>
      </c>
      <c r="D20" s="18" t="str">
        <f>'Raw Audit Data'!AR21</f>
        <v/>
      </c>
      <c r="E20" s="18" t="str">
        <f>'Raw Audit Data'!AS21</f>
        <v/>
      </c>
      <c r="F20" s="18" t="str">
        <f>'Raw Audit Data'!AT21</f>
        <v/>
      </c>
      <c r="G20" s="18" t="str">
        <f>'Raw Audit Data'!AU21</f>
        <v/>
      </c>
      <c r="H20" s="18" t="str">
        <f>'Raw Audit Data'!AV21</f>
        <v/>
      </c>
      <c r="I20" s="18" t="str">
        <f>'Raw Audit Data'!AW21</f>
        <v/>
      </c>
      <c r="J20" s="18" t="str">
        <f>'Raw Audit Data'!AX21</f>
        <v/>
      </c>
      <c r="K20" s="18" t="str">
        <f>'Raw Audit Data'!AY21</f>
        <v/>
      </c>
      <c r="L20" s="15">
        <f>'Raw Audit Data'!AZ21</f>
        <v>0</v>
      </c>
      <c r="M20" s="19" t="str">
        <f>'Raw Audit Data'!BA21</f>
        <v>Non-Compliant</v>
      </c>
    </row>
    <row r="21" spans="1:13" x14ac:dyDescent="0.3">
      <c r="A21" s="10">
        <v>20</v>
      </c>
      <c r="B21" s="17" t="s">
        <v>86</v>
      </c>
      <c r="C21" s="17" t="s">
        <v>85</v>
      </c>
      <c r="D21" s="18" t="str">
        <f>'Raw Audit Data'!AR22</f>
        <v/>
      </c>
      <c r="E21" s="18" t="str">
        <f>'Raw Audit Data'!AS22</f>
        <v/>
      </c>
      <c r="F21" s="18" t="str">
        <f>'Raw Audit Data'!AT22</f>
        <v/>
      </c>
      <c r="G21" s="18" t="str">
        <f>'Raw Audit Data'!AU22</f>
        <v/>
      </c>
      <c r="H21" s="18" t="str">
        <f>'Raw Audit Data'!AV22</f>
        <v/>
      </c>
      <c r="I21" s="18" t="str">
        <f>'Raw Audit Data'!AW22</f>
        <v/>
      </c>
      <c r="J21" s="18" t="str">
        <f>'Raw Audit Data'!AX22</f>
        <v/>
      </c>
      <c r="K21" s="18" t="str">
        <f>'Raw Audit Data'!AY22</f>
        <v/>
      </c>
      <c r="L21" s="15">
        <f>'Raw Audit Data'!AZ22</f>
        <v>0</v>
      </c>
      <c r="M21" s="19" t="str">
        <f>'Raw Audit Data'!BA22</f>
        <v>Non-Compliant</v>
      </c>
    </row>
    <row r="22" spans="1:13" x14ac:dyDescent="0.3">
      <c r="A22" s="10">
        <v>21</v>
      </c>
      <c r="B22" s="17" t="s">
        <v>87</v>
      </c>
      <c r="C22" s="17" t="s">
        <v>85</v>
      </c>
      <c r="D22" s="18" t="str">
        <f>'Raw Audit Data'!AR23</f>
        <v/>
      </c>
      <c r="E22" s="18" t="str">
        <f>'Raw Audit Data'!AS23</f>
        <v/>
      </c>
      <c r="F22" s="18" t="str">
        <f>'Raw Audit Data'!AT23</f>
        <v/>
      </c>
      <c r="G22" s="18" t="str">
        <f>'Raw Audit Data'!AU23</f>
        <v/>
      </c>
      <c r="H22" s="18" t="str">
        <f>'Raw Audit Data'!AV23</f>
        <v/>
      </c>
      <c r="I22" s="18" t="str">
        <f>'Raw Audit Data'!AW23</f>
        <v/>
      </c>
      <c r="J22" s="18" t="str">
        <f>'Raw Audit Data'!AX23</f>
        <v/>
      </c>
      <c r="K22" s="18" t="str">
        <f>'Raw Audit Data'!AY23</f>
        <v/>
      </c>
      <c r="L22" s="15">
        <f>'Raw Audit Data'!AZ23</f>
        <v>0</v>
      </c>
      <c r="M22" s="19" t="str">
        <f>'Raw Audit Data'!BA23</f>
        <v>Non-Compliant</v>
      </c>
    </row>
    <row r="23" spans="1:13" x14ac:dyDescent="0.3">
      <c r="A23" s="10">
        <v>22</v>
      </c>
      <c r="B23" s="17" t="s">
        <v>88</v>
      </c>
      <c r="C23" s="17" t="s">
        <v>89</v>
      </c>
      <c r="D23" s="18" t="str">
        <f>'Raw Audit Data'!AR24</f>
        <v/>
      </c>
      <c r="E23" s="18" t="str">
        <f>'Raw Audit Data'!AS24</f>
        <v/>
      </c>
      <c r="F23" s="18" t="str">
        <f>'Raw Audit Data'!AT24</f>
        <v/>
      </c>
      <c r="G23" s="18" t="str">
        <f>'Raw Audit Data'!AU24</f>
        <v/>
      </c>
      <c r="H23" s="18" t="str">
        <f>'Raw Audit Data'!AV24</f>
        <v/>
      </c>
      <c r="I23" s="18" t="str">
        <f>'Raw Audit Data'!AW24</f>
        <v/>
      </c>
      <c r="J23" s="18" t="str">
        <f>'Raw Audit Data'!AX24</f>
        <v/>
      </c>
      <c r="K23" s="18" t="str">
        <f>'Raw Audit Data'!AY24</f>
        <v/>
      </c>
      <c r="L23" s="15">
        <f>'Raw Audit Data'!AZ24</f>
        <v>0</v>
      </c>
      <c r="M23" s="19" t="str">
        <f>'Raw Audit Data'!BA24</f>
        <v>Non-Compliant</v>
      </c>
    </row>
    <row r="24" spans="1:13" x14ac:dyDescent="0.3">
      <c r="A24" s="10">
        <v>23</v>
      </c>
      <c r="B24" s="17" t="s">
        <v>90</v>
      </c>
      <c r="C24" s="17" t="s">
        <v>89</v>
      </c>
      <c r="D24" s="18" t="str">
        <f>'Raw Audit Data'!AR25</f>
        <v/>
      </c>
      <c r="E24" s="18" t="str">
        <f>'Raw Audit Data'!AS25</f>
        <v/>
      </c>
      <c r="F24" s="18" t="str">
        <f>'Raw Audit Data'!AT25</f>
        <v/>
      </c>
      <c r="G24" s="18" t="str">
        <f>'Raw Audit Data'!AU25</f>
        <v/>
      </c>
      <c r="H24" s="18" t="str">
        <f>'Raw Audit Data'!AV25</f>
        <v/>
      </c>
      <c r="I24" s="18" t="str">
        <f>'Raw Audit Data'!AW25</f>
        <v/>
      </c>
      <c r="J24" s="18" t="str">
        <f>'Raw Audit Data'!AX25</f>
        <v/>
      </c>
      <c r="K24" s="18" t="str">
        <f>'Raw Audit Data'!AY25</f>
        <v/>
      </c>
      <c r="L24" s="15">
        <f>'Raw Audit Data'!AZ25</f>
        <v>0</v>
      </c>
      <c r="M24" s="19" t="str">
        <f>'Raw Audit Data'!BA25</f>
        <v>Non-Compliant</v>
      </c>
    </row>
    <row r="25" spans="1:13" x14ac:dyDescent="0.3">
      <c r="A25" s="10">
        <v>24</v>
      </c>
      <c r="B25" s="17" t="s">
        <v>91</v>
      </c>
      <c r="C25" s="17" t="s">
        <v>89</v>
      </c>
      <c r="D25" s="18" t="str">
        <f>'Raw Audit Data'!AR26</f>
        <v/>
      </c>
      <c r="E25" s="18" t="str">
        <f>'Raw Audit Data'!AS26</f>
        <v/>
      </c>
      <c r="F25" s="18" t="str">
        <f>'Raw Audit Data'!AT26</f>
        <v/>
      </c>
      <c r="G25" s="18" t="str">
        <f>'Raw Audit Data'!AU26</f>
        <v/>
      </c>
      <c r="H25" s="18" t="str">
        <f>'Raw Audit Data'!AV26</f>
        <v/>
      </c>
      <c r="I25" s="18" t="str">
        <f>'Raw Audit Data'!AW26</f>
        <v/>
      </c>
      <c r="J25" s="18" t="str">
        <f>'Raw Audit Data'!AX26</f>
        <v/>
      </c>
      <c r="K25" s="18" t="str">
        <f>'Raw Audit Data'!AY26</f>
        <v/>
      </c>
      <c r="L25" s="15">
        <f>'Raw Audit Data'!AZ26</f>
        <v>0</v>
      </c>
      <c r="M25" s="19" t="str">
        <f>'Raw Audit Data'!BA26</f>
        <v>Non-Compliant</v>
      </c>
    </row>
    <row r="26" spans="1:13" x14ac:dyDescent="0.3">
      <c r="A26" s="10">
        <v>25</v>
      </c>
      <c r="B26" s="17" t="s">
        <v>92</v>
      </c>
      <c r="C26" s="17" t="s">
        <v>89</v>
      </c>
      <c r="D26" s="18" t="str">
        <f>'Raw Audit Data'!AR27</f>
        <v/>
      </c>
      <c r="E26" s="18" t="str">
        <f>'Raw Audit Data'!AS27</f>
        <v/>
      </c>
      <c r="F26" s="18" t="str">
        <f>'Raw Audit Data'!AT27</f>
        <v/>
      </c>
      <c r="G26" s="18" t="str">
        <f>'Raw Audit Data'!AU27</f>
        <v/>
      </c>
      <c r="H26" s="18" t="str">
        <f>'Raw Audit Data'!AV27</f>
        <v/>
      </c>
      <c r="I26" s="18" t="str">
        <f>'Raw Audit Data'!AW27</f>
        <v/>
      </c>
      <c r="J26" s="18" t="str">
        <f>'Raw Audit Data'!AX27</f>
        <v/>
      </c>
      <c r="K26" s="18" t="str">
        <f>'Raw Audit Data'!AY27</f>
        <v/>
      </c>
      <c r="L26" s="15">
        <f>'Raw Audit Data'!AZ27</f>
        <v>0</v>
      </c>
      <c r="M26" s="19" t="str">
        <f>'Raw Audit Data'!BA27</f>
        <v>Non-Compliant</v>
      </c>
    </row>
    <row r="27" spans="1:13" x14ac:dyDescent="0.3">
      <c r="A27" s="10">
        <v>26</v>
      </c>
      <c r="B27" s="17" t="s">
        <v>93</v>
      </c>
      <c r="C27" s="17" t="s">
        <v>89</v>
      </c>
      <c r="D27" s="18" t="str">
        <f>'Raw Audit Data'!AR28</f>
        <v/>
      </c>
      <c r="E27" s="18" t="str">
        <f>'Raw Audit Data'!AS28</f>
        <v/>
      </c>
      <c r="F27" s="18" t="str">
        <f>'Raw Audit Data'!AT28</f>
        <v/>
      </c>
      <c r="G27" s="18" t="str">
        <f>'Raw Audit Data'!AU28</f>
        <v/>
      </c>
      <c r="H27" s="18" t="str">
        <f>'Raw Audit Data'!AV28</f>
        <v/>
      </c>
      <c r="I27" s="18" t="str">
        <f>'Raw Audit Data'!AW28</f>
        <v/>
      </c>
      <c r="J27" s="18" t="str">
        <f>'Raw Audit Data'!AX28</f>
        <v/>
      </c>
      <c r="K27" s="18" t="str">
        <f>'Raw Audit Data'!AY28</f>
        <v/>
      </c>
      <c r="L27" s="15">
        <f>'Raw Audit Data'!AZ28</f>
        <v>0</v>
      </c>
      <c r="M27" s="19" t="str">
        <f>'Raw Audit Data'!BA28</f>
        <v>Non-Compliant</v>
      </c>
    </row>
    <row r="28" spans="1:13" x14ac:dyDescent="0.3">
      <c r="A28" s="10">
        <v>27</v>
      </c>
      <c r="B28" s="17" t="s">
        <v>94</v>
      </c>
      <c r="C28" s="17" t="s">
        <v>95</v>
      </c>
      <c r="D28" s="18" t="str">
        <f>'Raw Audit Data'!AR29</f>
        <v/>
      </c>
      <c r="E28" s="18" t="str">
        <f>'Raw Audit Data'!AS29</f>
        <v/>
      </c>
      <c r="F28" s="18" t="str">
        <f>'Raw Audit Data'!AT29</f>
        <v/>
      </c>
      <c r="G28" s="18" t="str">
        <f>'Raw Audit Data'!AU29</f>
        <v/>
      </c>
      <c r="H28" s="18" t="str">
        <f>'Raw Audit Data'!AV29</f>
        <v/>
      </c>
      <c r="I28" s="18" t="str">
        <f>'Raw Audit Data'!AW29</f>
        <v/>
      </c>
      <c r="J28" s="18" t="str">
        <f>'Raw Audit Data'!AX29</f>
        <v/>
      </c>
      <c r="K28" s="18" t="str">
        <f>'Raw Audit Data'!AY29</f>
        <v/>
      </c>
      <c r="L28" s="15">
        <f>'Raw Audit Data'!AZ29</f>
        <v>0</v>
      </c>
      <c r="M28" s="19" t="str">
        <f>'Raw Audit Data'!BA29</f>
        <v>Non-Compliant</v>
      </c>
    </row>
    <row r="29" spans="1:13" x14ac:dyDescent="0.3">
      <c r="A29" s="10">
        <v>28</v>
      </c>
      <c r="B29" s="17" t="s">
        <v>96</v>
      </c>
      <c r="C29" s="17" t="s">
        <v>95</v>
      </c>
      <c r="D29" s="18" t="str">
        <f>'Raw Audit Data'!AR30</f>
        <v/>
      </c>
      <c r="E29" s="18" t="str">
        <f>'Raw Audit Data'!AS30</f>
        <v/>
      </c>
      <c r="F29" s="18" t="str">
        <f>'Raw Audit Data'!AT30</f>
        <v/>
      </c>
      <c r="G29" s="18" t="str">
        <f>'Raw Audit Data'!AU30</f>
        <v/>
      </c>
      <c r="H29" s="18" t="str">
        <f>'Raw Audit Data'!AV30</f>
        <v/>
      </c>
      <c r="I29" s="18" t="str">
        <f>'Raw Audit Data'!AW30</f>
        <v/>
      </c>
      <c r="J29" s="18" t="str">
        <f>'Raw Audit Data'!AX30</f>
        <v/>
      </c>
      <c r="K29" s="18" t="str">
        <f>'Raw Audit Data'!AY30</f>
        <v/>
      </c>
      <c r="L29" s="15">
        <f>'Raw Audit Data'!AZ30</f>
        <v>0</v>
      </c>
      <c r="M29" s="19" t="str">
        <f>'Raw Audit Data'!BA30</f>
        <v>Non-Compliant</v>
      </c>
    </row>
    <row r="30" spans="1:13" x14ac:dyDescent="0.3">
      <c r="A30" s="10">
        <v>29</v>
      </c>
      <c r="B30" s="17" t="s">
        <v>97</v>
      </c>
      <c r="C30" s="17" t="s">
        <v>95</v>
      </c>
      <c r="D30" s="18" t="str">
        <f>'Raw Audit Data'!AR31</f>
        <v/>
      </c>
      <c r="E30" s="18" t="str">
        <f>'Raw Audit Data'!AS31</f>
        <v/>
      </c>
      <c r="F30" s="18" t="str">
        <f>'Raw Audit Data'!AT31</f>
        <v/>
      </c>
      <c r="G30" s="18" t="str">
        <f>'Raw Audit Data'!AU31</f>
        <v/>
      </c>
      <c r="H30" s="18" t="str">
        <f>'Raw Audit Data'!AV31</f>
        <v/>
      </c>
      <c r="I30" s="18" t="str">
        <f>'Raw Audit Data'!AW31</f>
        <v/>
      </c>
      <c r="J30" s="18" t="str">
        <f>'Raw Audit Data'!AX31</f>
        <v/>
      </c>
      <c r="K30" s="18" t="str">
        <f>'Raw Audit Data'!AY31</f>
        <v/>
      </c>
      <c r="L30" s="15">
        <f>'Raw Audit Data'!AZ31</f>
        <v>0</v>
      </c>
      <c r="M30" s="19" t="str">
        <f>'Raw Audit Data'!BA31</f>
        <v>Non-Compliant</v>
      </c>
    </row>
  </sheetData>
  <conditionalFormatting sqref="D2:L30">
    <cfRule type="cellIs" dxfId="5" priority="1" operator="greaterThanOrEqual">
      <formula>80</formula>
    </cfRule>
    <cfRule type="cellIs" dxfId="4" priority="2" operator="between">
      <formula>50</formula>
      <formula>79.9</formula>
    </cfRule>
    <cfRule type="cellIs" dxfId="3" priority="3" operator="lessThan">
      <formula>50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L8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40" customWidth="1"/>
    <col min="3" max="12" width="22" customWidth="1"/>
  </cols>
  <sheetData>
    <row r="1" spans="1:12" ht="28.8" x14ac:dyDescent="0.3">
      <c r="A1" s="1" t="s">
        <v>99</v>
      </c>
      <c r="B1" s="1" t="s">
        <v>102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100</v>
      </c>
      <c r="L1" s="1" t="s">
        <v>101</v>
      </c>
    </row>
    <row r="2" spans="1:12" x14ac:dyDescent="0.3">
      <c r="A2" s="20" t="s">
        <v>63</v>
      </c>
      <c r="B2" s="12" t="s">
        <v>103</v>
      </c>
      <c r="C2" s="18">
        <f>IFERROR(AVERAGE('Category Summary'!D2,'Category Summary'!D3,'Category Summary'!D4),"")</f>
        <v>16.666666666666664</v>
      </c>
      <c r="D2" s="18">
        <f>IFERROR(AVERAGE('Category Summary'!E2,'Category Summary'!E3,'Category Summary'!E4),"")</f>
        <v>66.666666666666657</v>
      </c>
      <c r="E2" s="18">
        <f>IFERROR(AVERAGE('Category Summary'!F2,'Category Summary'!F3,'Category Summary'!F4),"")</f>
        <v>100</v>
      </c>
      <c r="F2" s="18">
        <f>IFERROR(AVERAGE('Category Summary'!G2,'Category Summary'!G3,'Category Summary'!G4),"")</f>
        <v>50</v>
      </c>
      <c r="G2" s="18">
        <f>IFERROR(AVERAGE('Category Summary'!H2,'Category Summary'!H3,'Category Summary'!H4),"")</f>
        <v>66.666666666666657</v>
      </c>
      <c r="H2" s="18">
        <f>IFERROR(AVERAGE('Category Summary'!I2,'Category Summary'!I3,'Category Summary'!I4),"")</f>
        <v>20</v>
      </c>
      <c r="I2" s="18">
        <f>IFERROR(AVERAGE('Category Summary'!J2,'Category Summary'!J3,'Category Summary'!J4),"")</f>
        <v>66.666666666666657</v>
      </c>
      <c r="J2" s="18">
        <f>IFERROR(AVERAGE('Category Summary'!K2,'Category Summary'!K3,'Category Summary'!K4),"")</f>
        <v>75</v>
      </c>
      <c r="K2" s="15">
        <f>IFERROR(AVERAGE('Category Summary'!L2,'Category Summary'!L3,'Category Summary'!L4),"")</f>
        <v>0</v>
      </c>
      <c r="L2" s="19" t="str">
        <f t="shared" ref="L2:L8" si="0">IF(K2="","",IF(K2&gt;=80,"Compliant",IF(K2&gt;=50,"Partial","Non-Compliant")))</f>
        <v>Non-Compliant</v>
      </c>
    </row>
    <row r="3" spans="1:12" x14ac:dyDescent="0.3">
      <c r="A3" s="20" t="s">
        <v>67</v>
      </c>
      <c r="B3" s="12" t="s">
        <v>104</v>
      </c>
      <c r="C3" s="18" t="str">
        <f>IFERROR(AVERAGE('Category Summary'!D5,'Category Summary'!D6,'Category Summary'!D7,'Category Summary'!D8,'Category Summary'!D9),"")</f>
        <v/>
      </c>
      <c r="D3" s="18" t="str">
        <f>IFERROR(AVERAGE('Category Summary'!E5,'Category Summary'!E6,'Category Summary'!E7,'Category Summary'!E8,'Category Summary'!E9),"")</f>
        <v/>
      </c>
      <c r="E3" s="18" t="str">
        <f>IFERROR(AVERAGE('Category Summary'!F5,'Category Summary'!F6,'Category Summary'!F7,'Category Summary'!F8,'Category Summary'!F9),"")</f>
        <v/>
      </c>
      <c r="F3" s="18" t="str">
        <f>IFERROR(AVERAGE('Category Summary'!G5,'Category Summary'!G6,'Category Summary'!G7,'Category Summary'!G8,'Category Summary'!G9),"")</f>
        <v/>
      </c>
      <c r="G3" s="18" t="str">
        <f>IFERROR(AVERAGE('Category Summary'!H5,'Category Summary'!H6,'Category Summary'!H7,'Category Summary'!H8,'Category Summary'!H9),"")</f>
        <v/>
      </c>
      <c r="H3" s="18" t="str">
        <f>IFERROR(AVERAGE('Category Summary'!I5,'Category Summary'!I6,'Category Summary'!I7,'Category Summary'!I8,'Category Summary'!I9),"")</f>
        <v/>
      </c>
      <c r="I3" s="18" t="str">
        <f>IFERROR(AVERAGE('Category Summary'!J5,'Category Summary'!J6,'Category Summary'!J7,'Category Summary'!J8,'Category Summary'!J9),"")</f>
        <v/>
      </c>
      <c r="J3" s="18" t="str">
        <f>IFERROR(AVERAGE('Category Summary'!K5,'Category Summary'!K6,'Category Summary'!K7,'Category Summary'!K8,'Category Summary'!K9),"")</f>
        <v/>
      </c>
      <c r="K3" s="15">
        <f>IFERROR(AVERAGE('Category Summary'!L5,'Category Summary'!L6,'Category Summary'!L7,'Category Summary'!L8,'Category Summary'!L9),"")</f>
        <v>0</v>
      </c>
      <c r="L3" s="19" t="str">
        <f t="shared" si="0"/>
        <v>Non-Compliant</v>
      </c>
    </row>
    <row r="4" spans="1:12" x14ac:dyDescent="0.3">
      <c r="A4" s="20" t="s">
        <v>73</v>
      </c>
      <c r="B4" s="12" t="s">
        <v>105</v>
      </c>
      <c r="C4" s="18" t="str">
        <f>IFERROR(AVERAGE('Category Summary'!D10,'Category Summary'!D11,'Category Summary'!D12,'Category Summary'!D13,'Category Summary'!D14,'Category Summary'!D15,'Category Summary'!D16,'Category Summary'!D17),"")</f>
        <v/>
      </c>
      <c r="D4" s="18" t="str">
        <f>IFERROR(AVERAGE('Category Summary'!E10,'Category Summary'!E11,'Category Summary'!E12,'Category Summary'!E13,'Category Summary'!E14,'Category Summary'!E15,'Category Summary'!E16,'Category Summary'!E17),"")</f>
        <v/>
      </c>
      <c r="E4" s="18" t="str">
        <f>IFERROR(AVERAGE('Category Summary'!F10,'Category Summary'!F11,'Category Summary'!F12,'Category Summary'!F13,'Category Summary'!F14,'Category Summary'!F15,'Category Summary'!F16,'Category Summary'!F17),"")</f>
        <v/>
      </c>
      <c r="F4" s="18" t="str">
        <f>IFERROR(AVERAGE('Category Summary'!G10,'Category Summary'!G11,'Category Summary'!G12,'Category Summary'!G13,'Category Summary'!G14,'Category Summary'!G15,'Category Summary'!G16,'Category Summary'!G17),"")</f>
        <v/>
      </c>
      <c r="G4" s="18" t="str">
        <f>IFERROR(AVERAGE('Category Summary'!H10,'Category Summary'!H11,'Category Summary'!H12,'Category Summary'!H13,'Category Summary'!H14,'Category Summary'!H15,'Category Summary'!H16,'Category Summary'!H17),"")</f>
        <v/>
      </c>
      <c r="H4" s="18" t="str">
        <f>IFERROR(AVERAGE('Category Summary'!I10,'Category Summary'!I11,'Category Summary'!I12,'Category Summary'!I13,'Category Summary'!I14,'Category Summary'!I15,'Category Summary'!I16,'Category Summary'!I17),"")</f>
        <v/>
      </c>
      <c r="I4" s="18" t="str">
        <f>IFERROR(AVERAGE('Category Summary'!J10,'Category Summary'!J11,'Category Summary'!J12,'Category Summary'!J13,'Category Summary'!J14,'Category Summary'!J15,'Category Summary'!J16,'Category Summary'!J17),"")</f>
        <v/>
      </c>
      <c r="J4" s="18" t="str">
        <f>IFERROR(AVERAGE('Category Summary'!K10,'Category Summary'!K11,'Category Summary'!K12,'Category Summary'!K13,'Category Summary'!K14,'Category Summary'!K15,'Category Summary'!K16,'Category Summary'!K17),"")</f>
        <v/>
      </c>
      <c r="K4" s="15">
        <f>IFERROR(AVERAGE('Category Summary'!L10,'Category Summary'!L11,'Category Summary'!L12,'Category Summary'!L13,'Category Summary'!L14,'Category Summary'!L15,'Category Summary'!L16,'Category Summary'!L17),"")</f>
        <v>0</v>
      </c>
      <c r="L4" s="19" t="str">
        <f t="shared" si="0"/>
        <v>Non-Compliant</v>
      </c>
    </row>
    <row r="5" spans="1:12" x14ac:dyDescent="0.3">
      <c r="A5" s="20" t="s">
        <v>82</v>
      </c>
      <c r="B5" s="12" t="s">
        <v>106</v>
      </c>
      <c r="C5" s="18" t="str">
        <f>IFERROR(AVERAGE('Category Summary'!D18,'Category Summary'!D19),"")</f>
        <v/>
      </c>
      <c r="D5" s="18" t="str">
        <f>IFERROR(AVERAGE('Category Summary'!E18,'Category Summary'!E19),"")</f>
        <v/>
      </c>
      <c r="E5" s="18" t="str">
        <f>IFERROR(AVERAGE('Category Summary'!F18,'Category Summary'!F19),"")</f>
        <v/>
      </c>
      <c r="F5" s="18" t="str">
        <f>IFERROR(AVERAGE('Category Summary'!G18,'Category Summary'!G19),"")</f>
        <v/>
      </c>
      <c r="G5" s="18" t="str">
        <f>IFERROR(AVERAGE('Category Summary'!H18,'Category Summary'!H19),"")</f>
        <v/>
      </c>
      <c r="H5" s="18" t="str">
        <f>IFERROR(AVERAGE('Category Summary'!I18,'Category Summary'!I19),"")</f>
        <v/>
      </c>
      <c r="I5" s="18" t="str">
        <f>IFERROR(AVERAGE('Category Summary'!J18,'Category Summary'!J19),"")</f>
        <v/>
      </c>
      <c r="J5" s="18" t="str">
        <f>IFERROR(AVERAGE('Category Summary'!K18,'Category Summary'!K19),"")</f>
        <v/>
      </c>
      <c r="K5" s="15">
        <f>IFERROR(AVERAGE('Category Summary'!L18,'Category Summary'!L19),"")</f>
        <v>0</v>
      </c>
      <c r="L5" s="19" t="str">
        <f t="shared" si="0"/>
        <v>Non-Compliant</v>
      </c>
    </row>
    <row r="6" spans="1:12" x14ac:dyDescent="0.3">
      <c r="A6" s="20" t="s">
        <v>85</v>
      </c>
      <c r="B6" s="12" t="s">
        <v>107</v>
      </c>
      <c r="C6" s="18" t="str">
        <f>IFERROR(AVERAGE('Category Summary'!D20,'Category Summary'!D21,'Category Summary'!D22),"")</f>
        <v/>
      </c>
      <c r="D6" s="18" t="str">
        <f>IFERROR(AVERAGE('Category Summary'!E20,'Category Summary'!E21,'Category Summary'!E22),"")</f>
        <v/>
      </c>
      <c r="E6" s="18" t="str">
        <f>IFERROR(AVERAGE('Category Summary'!F20,'Category Summary'!F21,'Category Summary'!F22),"")</f>
        <v/>
      </c>
      <c r="F6" s="18" t="str">
        <f>IFERROR(AVERAGE('Category Summary'!G20,'Category Summary'!G21,'Category Summary'!G22),"")</f>
        <v/>
      </c>
      <c r="G6" s="18" t="str">
        <f>IFERROR(AVERAGE('Category Summary'!H20,'Category Summary'!H21,'Category Summary'!H22),"")</f>
        <v/>
      </c>
      <c r="H6" s="18" t="str">
        <f>IFERROR(AVERAGE('Category Summary'!I20,'Category Summary'!I21,'Category Summary'!I22),"")</f>
        <v/>
      </c>
      <c r="I6" s="18" t="str">
        <f>IFERROR(AVERAGE('Category Summary'!J20,'Category Summary'!J21,'Category Summary'!J22),"")</f>
        <v/>
      </c>
      <c r="J6" s="18" t="str">
        <f>IFERROR(AVERAGE('Category Summary'!K20,'Category Summary'!K21,'Category Summary'!K22),"")</f>
        <v/>
      </c>
      <c r="K6" s="15">
        <f>IFERROR(AVERAGE('Category Summary'!L20,'Category Summary'!L21,'Category Summary'!L22),"")</f>
        <v>0</v>
      </c>
      <c r="L6" s="19" t="str">
        <f t="shared" si="0"/>
        <v>Non-Compliant</v>
      </c>
    </row>
    <row r="7" spans="1:12" x14ac:dyDescent="0.3">
      <c r="A7" s="20" t="s">
        <v>89</v>
      </c>
      <c r="B7" s="12" t="s">
        <v>108</v>
      </c>
      <c r="C7" s="18" t="str">
        <f>IFERROR(AVERAGE('Category Summary'!D23,'Category Summary'!D24,'Category Summary'!D25,'Category Summary'!D26,'Category Summary'!D27),"")</f>
        <v/>
      </c>
      <c r="D7" s="18" t="str">
        <f>IFERROR(AVERAGE('Category Summary'!E23,'Category Summary'!E24,'Category Summary'!E25,'Category Summary'!E26,'Category Summary'!E27),"")</f>
        <v/>
      </c>
      <c r="E7" s="18" t="str">
        <f>IFERROR(AVERAGE('Category Summary'!F23,'Category Summary'!F24,'Category Summary'!F25,'Category Summary'!F26,'Category Summary'!F27),"")</f>
        <v/>
      </c>
      <c r="F7" s="18" t="str">
        <f>IFERROR(AVERAGE('Category Summary'!G23,'Category Summary'!G24,'Category Summary'!G25,'Category Summary'!G26,'Category Summary'!G27),"")</f>
        <v/>
      </c>
      <c r="G7" s="18" t="str">
        <f>IFERROR(AVERAGE('Category Summary'!H23,'Category Summary'!H24,'Category Summary'!H25,'Category Summary'!H26,'Category Summary'!H27),"")</f>
        <v/>
      </c>
      <c r="H7" s="18" t="str">
        <f>IFERROR(AVERAGE('Category Summary'!I23,'Category Summary'!I24,'Category Summary'!I25,'Category Summary'!I26,'Category Summary'!I27),"")</f>
        <v/>
      </c>
      <c r="I7" s="18" t="str">
        <f>IFERROR(AVERAGE('Category Summary'!J23,'Category Summary'!J24,'Category Summary'!J25,'Category Summary'!J26,'Category Summary'!J27),"")</f>
        <v/>
      </c>
      <c r="J7" s="18" t="str">
        <f>IFERROR(AVERAGE('Category Summary'!K23,'Category Summary'!K24,'Category Summary'!K25,'Category Summary'!K26,'Category Summary'!K27),"")</f>
        <v/>
      </c>
      <c r="K7" s="15">
        <f>IFERROR(AVERAGE('Category Summary'!L23,'Category Summary'!L24,'Category Summary'!L25,'Category Summary'!L26,'Category Summary'!L27),"")</f>
        <v>0</v>
      </c>
      <c r="L7" s="19" t="str">
        <f t="shared" si="0"/>
        <v>Non-Compliant</v>
      </c>
    </row>
    <row r="8" spans="1:12" x14ac:dyDescent="0.3">
      <c r="A8" s="20" t="s">
        <v>95</v>
      </c>
      <c r="B8" s="12" t="s">
        <v>109</v>
      </c>
      <c r="C8" s="18" t="str">
        <f>IFERROR(AVERAGE('Category Summary'!D28,'Category Summary'!D29,'Category Summary'!D30),"")</f>
        <v/>
      </c>
      <c r="D8" s="18" t="str">
        <f>IFERROR(AVERAGE('Category Summary'!E28,'Category Summary'!E29,'Category Summary'!E30),"")</f>
        <v/>
      </c>
      <c r="E8" s="18" t="str">
        <f>IFERROR(AVERAGE('Category Summary'!F28,'Category Summary'!F29,'Category Summary'!F30),"")</f>
        <v/>
      </c>
      <c r="F8" s="18" t="str">
        <f>IFERROR(AVERAGE('Category Summary'!G28,'Category Summary'!G29,'Category Summary'!G30),"")</f>
        <v/>
      </c>
      <c r="G8" s="18" t="str">
        <f>IFERROR(AVERAGE('Category Summary'!H28,'Category Summary'!H29,'Category Summary'!H30),"")</f>
        <v/>
      </c>
      <c r="H8" s="18" t="str">
        <f>IFERROR(AVERAGE('Category Summary'!I28,'Category Summary'!I29,'Category Summary'!I30),"")</f>
        <v/>
      </c>
      <c r="I8" s="18" t="str">
        <f>IFERROR(AVERAGE('Category Summary'!J28,'Category Summary'!J29,'Category Summary'!J30),"")</f>
        <v/>
      </c>
      <c r="J8" s="18" t="str">
        <f>IFERROR(AVERAGE('Category Summary'!K28,'Category Summary'!K29,'Category Summary'!K30),"")</f>
        <v/>
      </c>
      <c r="K8" s="15">
        <f>IFERROR(AVERAGE('Category Summary'!L28,'Category Summary'!L29,'Category Summary'!L30),"")</f>
        <v>0</v>
      </c>
      <c r="L8" s="19" t="str">
        <f t="shared" si="0"/>
        <v>Non-Compliant</v>
      </c>
    </row>
  </sheetData>
  <conditionalFormatting sqref="C2:K8">
    <cfRule type="cellIs" dxfId="2" priority="1" operator="greaterThanOrEqual">
      <formula>80</formula>
    </cfRule>
    <cfRule type="cellIs" dxfId="1" priority="2" operator="between">
      <formula>50</formula>
      <formula>79.9</formula>
    </cfRule>
    <cfRule type="cellIs" dxfId="0" priority="3" operator="lessThan">
      <formula>50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D85"/>
  <sheetViews>
    <sheetView workbookViewId="0"/>
  </sheetViews>
  <sheetFormatPr defaultRowHeight="14.4" x14ac:dyDescent="0.3"/>
  <cols>
    <col min="1" max="1" width="50" customWidth="1"/>
    <col min="2" max="2" width="40" customWidth="1"/>
    <col min="3" max="3" width="35" customWidth="1"/>
    <col min="4" max="4" width="30" customWidth="1"/>
  </cols>
  <sheetData>
    <row r="1" spans="1:4" ht="42" x14ac:dyDescent="0.3">
      <c r="A1" s="21" t="s">
        <v>110</v>
      </c>
    </row>
    <row r="2" spans="1:4" x14ac:dyDescent="0.3">
      <c r="A2" s="22"/>
    </row>
    <row r="3" spans="1:4" ht="17.399999999999999" x14ac:dyDescent="0.3">
      <c r="A3" s="23" t="s">
        <v>111</v>
      </c>
    </row>
    <row r="4" spans="1:4" x14ac:dyDescent="0.3">
      <c r="A4" s="22" t="s">
        <v>112</v>
      </c>
    </row>
    <row r="5" spans="1:4" x14ac:dyDescent="0.3">
      <c r="A5" s="22"/>
    </row>
    <row r="6" spans="1:4" x14ac:dyDescent="0.3">
      <c r="A6" s="24" t="s">
        <v>113</v>
      </c>
      <c r="B6" s="24" t="s">
        <v>114</v>
      </c>
      <c r="C6" s="24" t="s">
        <v>115</v>
      </c>
      <c r="D6" s="24" t="s">
        <v>116</v>
      </c>
    </row>
    <row r="7" spans="1:4" x14ac:dyDescent="0.3">
      <c r="A7" s="22" t="s">
        <v>117</v>
      </c>
      <c r="B7" s="22" t="s">
        <v>118</v>
      </c>
      <c r="C7" s="22" t="s">
        <v>119</v>
      </c>
      <c r="D7" s="22" t="s">
        <v>120</v>
      </c>
    </row>
    <row r="8" spans="1:4" x14ac:dyDescent="0.3">
      <c r="A8" s="22" t="s">
        <v>121</v>
      </c>
      <c r="B8" s="22" t="s">
        <v>122</v>
      </c>
      <c r="C8" s="22" t="s">
        <v>123</v>
      </c>
      <c r="D8" s="22" t="s">
        <v>124</v>
      </c>
    </row>
    <row r="9" spans="1:4" x14ac:dyDescent="0.3">
      <c r="A9" s="22" t="s">
        <v>125</v>
      </c>
      <c r="B9" s="22" t="s">
        <v>126</v>
      </c>
      <c r="C9" s="22" t="s">
        <v>127</v>
      </c>
      <c r="D9" s="22" t="s">
        <v>128</v>
      </c>
    </row>
    <row r="10" spans="1:4" x14ac:dyDescent="0.3">
      <c r="A10" s="22" t="s">
        <v>129</v>
      </c>
      <c r="B10" s="22" t="s">
        <v>130</v>
      </c>
      <c r="C10" s="22" t="s">
        <v>131</v>
      </c>
      <c r="D10" s="22" t="s">
        <v>132</v>
      </c>
    </row>
    <row r="11" spans="1:4" x14ac:dyDescent="0.3">
      <c r="A11" s="22"/>
    </row>
    <row r="12" spans="1:4" ht="17.399999999999999" x14ac:dyDescent="0.3">
      <c r="A12" s="23" t="s">
        <v>133</v>
      </c>
    </row>
    <row r="13" spans="1:4" x14ac:dyDescent="0.3">
      <c r="A13" s="24" t="s">
        <v>134</v>
      </c>
      <c r="B13" s="24" t="s">
        <v>135</v>
      </c>
      <c r="C13" s="24" t="s">
        <v>136</v>
      </c>
      <c r="D13" s="24" t="s">
        <v>137</v>
      </c>
    </row>
    <row r="14" spans="1:4" x14ac:dyDescent="0.3">
      <c r="A14" s="22" t="s">
        <v>138</v>
      </c>
      <c r="B14" s="22" t="s">
        <v>139</v>
      </c>
      <c r="C14" s="22" t="s">
        <v>140</v>
      </c>
      <c r="D14" s="22" t="s">
        <v>141</v>
      </c>
    </row>
    <row r="15" spans="1:4" x14ac:dyDescent="0.3">
      <c r="A15" s="22" t="s">
        <v>142</v>
      </c>
      <c r="B15" s="22" t="s">
        <v>125</v>
      </c>
      <c r="C15" s="22" t="s">
        <v>143</v>
      </c>
      <c r="D15" s="22" t="s">
        <v>144</v>
      </c>
    </row>
    <row r="16" spans="1:4" x14ac:dyDescent="0.3">
      <c r="A16" s="22" t="s">
        <v>145</v>
      </c>
      <c r="B16" s="22" t="s">
        <v>146</v>
      </c>
      <c r="C16" s="22" t="s">
        <v>147</v>
      </c>
      <c r="D16" s="22" t="s">
        <v>148</v>
      </c>
    </row>
    <row r="17" spans="1:1" x14ac:dyDescent="0.3">
      <c r="A17" s="22"/>
    </row>
    <row r="18" spans="1:1" ht="17.399999999999999" x14ac:dyDescent="0.3">
      <c r="A18" s="23" t="s">
        <v>149</v>
      </c>
    </row>
    <row r="19" spans="1:1" x14ac:dyDescent="0.3">
      <c r="A19" s="22"/>
    </row>
    <row r="20" spans="1:1" x14ac:dyDescent="0.3">
      <c r="A20" s="25" t="s">
        <v>150</v>
      </c>
    </row>
    <row r="21" spans="1:1" x14ac:dyDescent="0.3">
      <c r="A21" s="22" t="s">
        <v>151</v>
      </c>
    </row>
    <row r="22" spans="1:1" x14ac:dyDescent="0.3">
      <c r="A22" s="22" t="s">
        <v>152</v>
      </c>
    </row>
    <row r="23" spans="1:1" x14ac:dyDescent="0.3">
      <c r="A23" s="22" t="s">
        <v>153</v>
      </c>
    </row>
    <row r="24" spans="1:1" x14ac:dyDescent="0.3">
      <c r="A24" s="22" t="s">
        <v>154</v>
      </c>
    </row>
    <row r="25" spans="1:1" x14ac:dyDescent="0.3">
      <c r="A25" s="22" t="s">
        <v>155</v>
      </c>
    </row>
    <row r="26" spans="1:1" x14ac:dyDescent="0.3">
      <c r="A26" s="22" t="s">
        <v>156</v>
      </c>
    </row>
    <row r="27" spans="1:1" x14ac:dyDescent="0.3">
      <c r="A27" s="22"/>
    </row>
    <row r="28" spans="1:1" x14ac:dyDescent="0.3">
      <c r="A28" s="25" t="s">
        <v>157</v>
      </c>
    </row>
    <row r="29" spans="1:1" x14ac:dyDescent="0.3">
      <c r="A29" s="22" t="s">
        <v>158</v>
      </c>
    </row>
    <row r="30" spans="1:1" x14ac:dyDescent="0.3">
      <c r="A30" s="22" t="s">
        <v>159</v>
      </c>
    </row>
    <row r="31" spans="1:1" x14ac:dyDescent="0.3">
      <c r="A31" s="22" t="s">
        <v>160</v>
      </c>
    </row>
    <row r="32" spans="1:1" x14ac:dyDescent="0.3">
      <c r="A32" s="22" t="s">
        <v>161</v>
      </c>
    </row>
    <row r="33" spans="1:1" x14ac:dyDescent="0.3">
      <c r="A33" s="22" t="s">
        <v>162</v>
      </c>
    </row>
    <row r="34" spans="1:1" x14ac:dyDescent="0.3">
      <c r="A34" s="22" t="s">
        <v>163</v>
      </c>
    </row>
    <row r="35" spans="1:1" x14ac:dyDescent="0.3">
      <c r="A35" s="22"/>
    </row>
    <row r="36" spans="1:1" x14ac:dyDescent="0.3">
      <c r="A36" s="25" t="s">
        <v>164</v>
      </c>
    </row>
    <row r="37" spans="1:1" x14ac:dyDescent="0.3">
      <c r="A37" s="22" t="s">
        <v>165</v>
      </c>
    </row>
    <row r="38" spans="1:1" x14ac:dyDescent="0.3">
      <c r="A38" s="22" t="s">
        <v>166</v>
      </c>
    </row>
    <row r="39" spans="1:1" x14ac:dyDescent="0.3">
      <c r="A39" s="22" t="s">
        <v>167</v>
      </c>
    </row>
    <row r="40" spans="1:1" x14ac:dyDescent="0.3">
      <c r="A40" s="22" t="s">
        <v>168</v>
      </c>
    </row>
    <row r="41" spans="1:1" x14ac:dyDescent="0.3">
      <c r="A41" s="22"/>
    </row>
    <row r="42" spans="1:1" x14ac:dyDescent="0.3">
      <c r="A42" s="25" t="s">
        <v>169</v>
      </c>
    </row>
    <row r="43" spans="1:1" x14ac:dyDescent="0.3">
      <c r="A43" s="22" t="s">
        <v>170</v>
      </c>
    </row>
    <row r="44" spans="1:1" x14ac:dyDescent="0.3">
      <c r="A44" s="22" t="s">
        <v>171</v>
      </c>
    </row>
    <row r="45" spans="1:1" x14ac:dyDescent="0.3">
      <c r="A45" s="22" t="s">
        <v>172</v>
      </c>
    </row>
    <row r="46" spans="1:1" x14ac:dyDescent="0.3">
      <c r="A46" s="22" t="s">
        <v>173</v>
      </c>
    </row>
    <row r="47" spans="1:1" x14ac:dyDescent="0.3">
      <c r="A47" s="22"/>
    </row>
    <row r="48" spans="1:1" x14ac:dyDescent="0.3">
      <c r="A48" s="25" t="s">
        <v>174</v>
      </c>
    </row>
    <row r="49" spans="1:1" x14ac:dyDescent="0.3">
      <c r="A49" s="22" t="s">
        <v>175</v>
      </c>
    </row>
    <row r="50" spans="1:1" x14ac:dyDescent="0.3">
      <c r="A50" s="22" t="s">
        <v>176</v>
      </c>
    </row>
    <row r="51" spans="1:1" x14ac:dyDescent="0.3">
      <c r="A51" s="22" t="s">
        <v>177</v>
      </c>
    </row>
    <row r="52" spans="1:1" x14ac:dyDescent="0.3">
      <c r="A52" s="22" t="s">
        <v>178</v>
      </c>
    </row>
    <row r="53" spans="1:1" x14ac:dyDescent="0.3">
      <c r="A53" s="22" t="s">
        <v>179</v>
      </c>
    </row>
    <row r="54" spans="1:1" ht="28.8" x14ac:dyDescent="0.3">
      <c r="A54" s="22" t="s">
        <v>180</v>
      </c>
    </row>
    <row r="55" spans="1:1" x14ac:dyDescent="0.3">
      <c r="A55" s="22"/>
    </row>
    <row r="56" spans="1:1" x14ac:dyDescent="0.3">
      <c r="A56" s="25" t="s">
        <v>181</v>
      </c>
    </row>
    <row r="57" spans="1:1" x14ac:dyDescent="0.3">
      <c r="A57" s="22" t="s">
        <v>182</v>
      </c>
    </row>
    <row r="58" spans="1:1" x14ac:dyDescent="0.3">
      <c r="A58" s="22" t="s">
        <v>183</v>
      </c>
    </row>
    <row r="59" spans="1:1" x14ac:dyDescent="0.3">
      <c r="A59" s="22" t="s">
        <v>184</v>
      </c>
    </row>
    <row r="60" spans="1:1" x14ac:dyDescent="0.3">
      <c r="A60" s="22" t="s">
        <v>185</v>
      </c>
    </row>
    <row r="61" spans="1:1" x14ac:dyDescent="0.3">
      <c r="A61" s="22" t="s">
        <v>186</v>
      </c>
    </row>
    <row r="62" spans="1:1" x14ac:dyDescent="0.3">
      <c r="A62" s="22"/>
    </row>
    <row r="63" spans="1:1" x14ac:dyDescent="0.3">
      <c r="A63" s="25" t="s">
        <v>187</v>
      </c>
    </row>
    <row r="64" spans="1:1" x14ac:dyDescent="0.3">
      <c r="A64" s="22" t="s">
        <v>188</v>
      </c>
    </row>
    <row r="65" spans="1:1" x14ac:dyDescent="0.3">
      <c r="A65" s="22" t="s">
        <v>189</v>
      </c>
    </row>
    <row r="66" spans="1:1" x14ac:dyDescent="0.3">
      <c r="A66" s="22" t="s">
        <v>190</v>
      </c>
    </row>
    <row r="67" spans="1:1" x14ac:dyDescent="0.3">
      <c r="A67" s="22"/>
    </row>
    <row r="68" spans="1:1" x14ac:dyDescent="0.3">
      <c r="A68" s="25" t="s">
        <v>191</v>
      </c>
    </row>
    <row r="69" spans="1:1" x14ac:dyDescent="0.3">
      <c r="A69" s="22" t="s">
        <v>192</v>
      </c>
    </row>
    <row r="70" spans="1:1" x14ac:dyDescent="0.3">
      <c r="A70" s="22" t="s">
        <v>193</v>
      </c>
    </row>
    <row r="71" spans="1:1" ht="28.8" x14ac:dyDescent="0.3">
      <c r="A71" s="22" t="s">
        <v>194</v>
      </c>
    </row>
    <row r="72" spans="1:1" x14ac:dyDescent="0.3">
      <c r="A72" s="22" t="s">
        <v>195</v>
      </c>
    </row>
    <row r="73" spans="1:1" x14ac:dyDescent="0.3">
      <c r="A73" s="22"/>
    </row>
    <row r="74" spans="1:1" ht="17.399999999999999" x14ac:dyDescent="0.3">
      <c r="A74" s="23" t="s">
        <v>196</v>
      </c>
    </row>
    <row r="75" spans="1:1" ht="28.8" x14ac:dyDescent="0.3">
      <c r="A75" s="22" t="s">
        <v>197</v>
      </c>
    </row>
    <row r="76" spans="1:1" ht="28.8" x14ac:dyDescent="0.3">
      <c r="A76" s="22" t="s">
        <v>198</v>
      </c>
    </row>
    <row r="77" spans="1:1" ht="28.8" x14ac:dyDescent="0.3">
      <c r="A77" s="22" t="s">
        <v>199</v>
      </c>
    </row>
    <row r="78" spans="1:1" x14ac:dyDescent="0.3">
      <c r="A78" s="22" t="s">
        <v>200</v>
      </c>
    </row>
    <row r="79" spans="1:1" ht="28.8" x14ac:dyDescent="0.3">
      <c r="A79" s="22" t="s">
        <v>201</v>
      </c>
    </row>
    <row r="80" spans="1:1" x14ac:dyDescent="0.3">
      <c r="A80" s="22"/>
    </row>
    <row r="81" spans="1:1" ht="17.399999999999999" x14ac:dyDescent="0.3">
      <c r="A81" s="23" t="s">
        <v>202</v>
      </c>
    </row>
    <row r="82" spans="1:1" x14ac:dyDescent="0.3">
      <c r="A82" s="22" t="s">
        <v>203</v>
      </c>
    </row>
    <row r="83" spans="1:1" x14ac:dyDescent="0.3">
      <c r="A83" s="22" t="s">
        <v>204</v>
      </c>
    </row>
    <row r="84" spans="1:1" x14ac:dyDescent="0.3">
      <c r="A84" s="22" t="s">
        <v>205</v>
      </c>
    </row>
    <row r="85" spans="1:1" x14ac:dyDescent="0.3">
      <c r="A85" s="22" t="s">
        <v>206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Audit Data</vt:lpstr>
      <vt:lpstr>Category Summary</vt:lpstr>
      <vt:lpstr>Block-wise Summary</vt:lpstr>
      <vt:lpstr>Scoring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Vaibhav Tiwari</cp:lastModifiedBy>
  <dcterms:created xsi:type="dcterms:W3CDTF">2026-09-24T08:58:27Z</dcterms:created>
  <dcterms:modified xsi:type="dcterms:W3CDTF">2026-09-24T09:14:53Z</dcterms:modified>
</cp:coreProperties>
</file>